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C:\projects\fish_biodiversity\tables\si_su_duplicates\"/>
    </mc:Choice>
  </mc:AlternateContent>
  <xr:revisionPtr revIDLastSave="0" documentId="13_ncr:1_{8CFB0112-4296-44C1-862C-E3701F4412EE}" xr6:coauthVersionLast="47" xr6:coauthVersionMax="47" xr10:uidLastSave="{00000000-0000-0000-0000-000000000000}"/>
  <bookViews>
    <workbookView xWindow="-19310" yWindow="4200" windowWidth="19420" windowHeight="11020" tabRatio="812" activeTab="1" xr2:uid="{B3F6E9CB-60B3-4A58-A736-9FCDA4BE32DD}"/>
  </bookViews>
  <sheets>
    <sheet name="Table 1. Stations &amp; Counts" sheetId="1" r:id="rId1"/>
    <sheet name="Table 2. alpha lme fe ANOVA" sheetId="5" r:id="rId2"/>
    <sheet name="Table 3. estimater lme fe ANOVA" sheetId="20" r:id="rId3"/>
    <sheet name="Table 4. beta perm lme fe" sheetId="7" r:id="rId4"/>
    <sheet name="Table 5. beta perm lme posthoc" sheetId="21" r:id="rId5"/>
    <sheet name="Table S1. alpha lme posthoc" sheetId="12" r:id="rId6"/>
    <sheet name="Table S2. estimater lme posthoc" sheetId="19" r:id="rId7"/>
    <sheet name="Table S3. beta disper era-sea" sheetId="6" r:id="rId8"/>
    <sheet name="Table S4. Trophic lme fe ANOVA" sheetId="14" r:id="rId9"/>
    <sheet name="Table S5. SIMPROF sigclusters" sheetId="17" r:id="rId10"/>
    <sheet name="Table S6. SIMPER by study 20%" sheetId="8" r:id="rId11"/>
    <sheet name="Table S7. SIMPER by sea 20%" sheetId="9" r:id="rId12"/>
    <sheet name="Table S8. SIMPER by Bohol 20%" sheetId="10" r:id="rId13"/>
    <sheet name="Table S9. SIMPER by Sulu 20%" sheetId="11" r:id="rId14"/>
    <sheet name="Table dep#. alpha ave era-sea" sheetId="2" r:id="rId15"/>
    <sheet name="Table dep#. alpha stations pair" sheetId="3" r:id="rId16"/>
    <sheet name="Table dep#. alpha pooled erasea" sheetId="18" r:id="rId17"/>
    <sheet name="Table dep#. alpha ANOVA 2-way" sheetId="4" r:id="rId1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6" i="20" l="1"/>
  <c r="R7" i="20"/>
  <c r="R8" i="20"/>
  <c r="R9" i="20"/>
  <c r="R10" i="20"/>
  <c r="R11" i="20"/>
  <c r="R12" i="20"/>
  <c r="R5" i="20"/>
  <c r="K38" i="5"/>
  <c r="K39" i="5"/>
  <c r="K40" i="5"/>
  <c r="K37" i="5"/>
  <c r="U6" i="5"/>
  <c r="U7" i="5"/>
  <c r="U8" i="5"/>
  <c r="U9" i="5"/>
  <c r="U10" i="5"/>
  <c r="U11" i="5"/>
  <c r="U12" i="5"/>
  <c r="U13" i="5"/>
  <c r="U14" i="5"/>
  <c r="U15" i="5"/>
  <c r="U16" i="5"/>
  <c r="U17" i="5"/>
  <c r="U18" i="5"/>
  <c r="U19" i="5"/>
  <c r="U20" i="5"/>
  <c r="U21" i="5"/>
  <c r="U22" i="5"/>
  <c r="U23" i="5"/>
  <c r="U24" i="5"/>
  <c r="U5" i="5"/>
  <c r="T24" i="5"/>
  <c r="T6" i="5"/>
  <c r="T7" i="5"/>
  <c r="V7" i="5" s="1"/>
  <c r="T8" i="5"/>
  <c r="V8" i="5" s="1"/>
  <c r="T9" i="5"/>
  <c r="T10" i="5"/>
  <c r="T11" i="5"/>
  <c r="V11" i="5" s="1"/>
  <c r="T12" i="5"/>
  <c r="T13" i="5"/>
  <c r="T14" i="5"/>
  <c r="T15" i="5"/>
  <c r="T16" i="5"/>
  <c r="T17" i="5"/>
  <c r="T18" i="5"/>
  <c r="T19" i="5"/>
  <c r="T20" i="5"/>
  <c r="V20" i="5" s="1"/>
  <c r="T21" i="5"/>
  <c r="V21" i="5" s="1"/>
  <c r="T22" i="5"/>
  <c r="V22" i="5" s="1"/>
  <c r="T23" i="5"/>
  <c r="T5" i="5"/>
  <c r="N5" i="3"/>
  <c r="O5" i="3"/>
  <c r="P5" i="3"/>
  <c r="Q5" i="3"/>
  <c r="N4" i="3"/>
  <c r="O4" i="3"/>
  <c r="P4" i="3"/>
  <c r="Q4" i="3"/>
  <c r="M5" i="3"/>
  <c r="M4" i="3"/>
  <c r="P29" i="3"/>
  <c r="V5" i="5" l="1"/>
  <c r="V9" i="5"/>
  <c r="V23" i="5"/>
  <c r="V15" i="5"/>
  <c r="V14" i="5"/>
  <c r="V6" i="5"/>
  <c r="V17" i="5"/>
  <c r="V13" i="5"/>
  <c r="V10" i="5"/>
  <c r="V19" i="5"/>
  <c r="V24" i="5"/>
  <c r="V16" i="5"/>
  <c r="V12" i="5"/>
  <c r="V18" i="5"/>
</calcChain>
</file>

<file path=xl/sharedStrings.xml><?xml version="1.0" encoding="utf-8"?>
<sst xmlns="http://schemas.openxmlformats.org/spreadsheetml/2006/main" count="1410" uniqueCount="549">
  <si>
    <t>Sea</t>
  </si>
  <si>
    <t>Genera</t>
  </si>
  <si>
    <t>Species</t>
  </si>
  <si>
    <t>All</t>
  </si>
  <si>
    <t>SI 1978/1979</t>
  </si>
  <si>
    <t>SU 2019/2022</t>
  </si>
  <si>
    <t>Bohol Sea</t>
  </si>
  <si>
    <t>Sulu Sea</t>
  </si>
  <si>
    <t>Stations</t>
  </si>
  <si>
    <t>Survey</t>
  </si>
  <si>
    <t>level</t>
  </si>
  <si>
    <t>by_study</t>
  </si>
  <si>
    <t>by_sea</t>
  </si>
  <si>
    <t>by_study_and_sea</t>
  </si>
  <si>
    <t>Study</t>
  </si>
  <si>
    <t>Simpson Mean</t>
  </si>
  <si>
    <t>Simpson SD</t>
  </si>
  <si>
    <t>Inverse Simpson Mean</t>
  </si>
  <si>
    <t>Inverse Simpson SD</t>
  </si>
  <si>
    <t>Unbiased Simpson Mean</t>
  </si>
  <si>
    <t>Unbiased Simpson SD</t>
  </si>
  <si>
    <t>Alpha Mean</t>
  </si>
  <si>
    <t>Alpha SD</t>
  </si>
  <si>
    <t>Station Code</t>
  </si>
  <si>
    <t>Δ Simpson</t>
  </si>
  <si>
    <t>Δ Inverse Simpson</t>
  </si>
  <si>
    <t>Δ Unbiased Simpson</t>
  </si>
  <si>
    <t>Δ Alpha</t>
  </si>
  <si>
    <t>Metric</t>
  </si>
  <si>
    <t>Effect</t>
  </si>
  <si>
    <t>p</t>
  </si>
  <si>
    <t>Inverse Simpson</t>
  </si>
  <si>
    <t>Mean Δ H</t>
  </si>
  <si>
    <t>Mean Δ Simpson</t>
  </si>
  <si>
    <t>Mean Δ Inverse Simpson</t>
  </si>
  <si>
    <t>Mean Δ Unbiased Simpson</t>
  </si>
  <si>
    <t>Mean Δ Alpha</t>
  </si>
  <si>
    <t>df</t>
  </si>
  <si>
    <t>(Intercept)</t>
  </si>
  <si>
    <t>01_bohol</t>
  </si>
  <si>
    <t>02_bohol</t>
  </si>
  <si>
    <t>03_bohol</t>
  </si>
  <si>
    <t>04_bohol</t>
  </si>
  <si>
    <t>05_bohol</t>
  </si>
  <si>
    <t>06_bohol</t>
  </si>
  <si>
    <t>07_bohol</t>
  </si>
  <si>
    <t>08_bohol</t>
  </si>
  <si>
    <t>09_bohol</t>
  </si>
  <si>
    <t>10_bohol</t>
  </si>
  <si>
    <t>11_bohol</t>
  </si>
  <si>
    <t>12_bohol</t>
  </si>
  <si>
    <t>14_sulu</t>
  </si>
  <si>
    <t>15_sulu</t>
  </si>
  <si>
    <t>16_sulu</t>
  </si>
  <si>
    <t>17_sulu</t>
  </si>
  <si>
    <t>18_sulu</t>
  </si>
  <si>
    <t>19_sulu</t>
  </si>
  <si>
    <t>20_sulu</t>
  </si>
  <si>
    <t>Factor</t>
  </si>
  <si>
    <t>Mean Sq</t>
  </si>
  <si>
    <t>R²</t>
  </si>
  <si>
    <t>Residual</t>
  </si>
  <si>
    <t>Total</t>
  </si>
  <si>
    <t>ava</t>
  </si>
  <si>
    <t>avb</t>
  </si>
  <si>
    <t>Families</t>
  </si>
  <si>
    <t>13_bohol</t>
  </si>
  <si>
    <t>21_sulu</t>
  </si>
  <si>
    <t>Siaton</t>
  </si>
  <si>
    <t>Siquijor</t>
  </si>
  <si>
    <t>Larena</t>
  </si>
  <si>
    <t>Palawan</t>
  </si>
  <si>
    <t>Cuyo</t>
  </si>
  <si>
    <t>Magsaysay</t>
  </si>
  <si>
    <t>Province</t>
  </si>
  <si>
    <t>Municipality</t>
  </si>
  <si>
    <t>Negros Oriental</t>
  </si>
  <si>
    <t>San Juan</t>
  </si>
  <si>
    <t>conf_low</t>
  </si>
  <si>
    <t>conf_high</t>
  </si>
  <si>
    <t>H</t>
  </si>
  <si>
    <t>study</t>
  </si>
  <si>
    <t>sea</t>
  </si>
  <si>
    <t>study:sea</t>
  </si>
  <si>
    <t>contrast</t>
  </si>
  <si>
    <t>SE</t>
  </si>
  <si>
    <t>For each alpha diversity metric, all pairwise differences between groups defined by survey period and sea are shown. The contrast, estimated difference, standard error, degrees of freedom, t-ratio, p-value, and 95% confidence interval are reported. P-values are Tukey-adjusted for multiple comparisons. No pairwise comparisons were statistically significant at α = 0.05.</t>
  </si>
  <si>
    <t>Table #. Summary of linear mixed-effects models for alpha diversity indices.</t>
  </si>
  <si>
    <t>studysu_2022</t>
  </si>
  <si>
    <t>seasulu</t>
  </si>
  <si>
    <t>studysu_2022:seasulu</t>
  </si>
  <si>
    <t>Table #. Type III Wald test results for model terms in the CWM linear mixed-effects model.
Chi-square statistics, degrees of freedom, and p-values for each main effect and interaction.</t>
  </si>
  <si>
    <t>SI 1978/79</t>
  </si>
  <si>
    <t>SU 2019/22</t>
  </si>
  <si>
    <t>Era</t>
  </si>
  <si>
    <t>Historical</t>
  </si>
  <si>
    <t>Modern</t>
  </si>
  <si>
    <t>Term</t>
  </si>
  <si>
    <t>Era:Sea</t>
  </si>
  <si>
    <t>Confidence Interval</t>
  </si>
  <si>
    <t>2.95 - 3.46</t>
  </si>
  <si>
    <t>-0.24 - 0.38</t>
  </si>
  <si>
    <t>-0.02 - 0.8</t>
  </si>
  <si>
    <t>-1.01 - -0.01</t>
  </si>
  <si>
    <t>0.86 - 0.95</t>
  </si>
  <si>
    <t>-0.05 - 0.07</t>
  </si>
  <si>
    <t>-0.03 - 0.11</t>
  </si>
  <si>
    <t>-0.19 - 0</t>
  </si>
  <si>
    <t>10.63 - 18.55</t>
  </si>
  <si>
    <t>-4.17 - 5.49</t>
  </si>
  <si>
    <t>-1.19 - 11.65</t>
  </si>
  <si>
    <t>-13.83 - 1.82</t>
  </si>
  <si>
    <t>0.87 - 0.95</t>
  </si>
  <si>
    <t>18.88 - 26.74</t>
  </si>
  <si>
    <t>-0.92 - 7.87</t>
  </si>
  <si>
    <t>1.16 - 13.91</t>
  </si>
  <si>
    <t>-13.28 - 0.95</t>
  </si>
  <si>
    <t>Fixed Effects</t>
  </si>
  <si>
    <t>ANOVA</t>
  </si>
  <si>
    <t>Estimate</t>
  </si>
  <si>
    <t>St. Err.</t>
  </si>
  <si>
    <t>CI</t>
  </si>
  <si>
    <t>Chi-sq</t>
  </si>
  <si>
    <t>Sum Sq</t>
  </si>
  <si>
    <t>F-statistic</t>
  </si>
  <si>
    <t>Shannon's H</t>
  </si>
  <si>
    <t>Simpson</t>
  </si>
  <si>
    <t>Unbiased Simpson</t>
  </si>
  <si>
    <t>Alpha</t>
  </si>
  <si>
    <t>3.352 (0.449)</t>
  </si>
  <si>
    <t>0.921 (0.049)</t>
  </si>
  <si>
    <t>16.581 (7.306)</t>
  </si>
  <si>
    <t>0.923 (0.049)</t>
  </si>
  <si>
    <t>25.681 (8.407)</t>
  </si>
  <si>
    <t>3.225 (0.508)</t>
  </si>
  <si>
    <t>0.894 (0.102)</t>
  </si>
  <si>
    <t>0.897 (0.103)</t>
  </si>
  <si>
    <t>3.237 (0.421)</t>
  </si>
  <si>
    <t>14.919 (7.208)</t>
  </si>
  <si>
    <t>0.913 (0.054)</t>
  </si>
  <si>
    <t>24.547 (7.688)</t>
  </si>
  <si>
    <t>3.371 (0.563)</t>
  </si>
  <si>
    <t>0.904 (0.113)</t>
  </si>
  <si>
    <t>0.905 (0.113)</t>
  </si>
  <si>
    <t>3.203 (0.488)</t>
  </si>
  <si>
    <t>0.906 (0.056)</t>
  </si>
  <si>
    <t>14.588 (7.755)</t>
  </si>
  <si>
    <t>0.908 (0.056)</t>
  </si>
  <si>
    <t>22.811 (8.254)</t>
  </si>
  <si>
    <t>3.272 (0.359)</t>
  </si>
  <si>
    <t>0.914 (0.054)</t>
  </si>
  <si>
    <t>15.249 (6.917)</t>
  </si>
  <si>
    <t>0.918 (0.054)</t>
  </si>
  <si>
    <t>26.284 (6.962)</t>
  </si>
  <si>
    <t>3.594 (0.246)</t>
  </si>
  <si>
    <t>0.946 (0.015)</t>
  </si>
  <si>
    <t>0.947 (0.015)</t>
  </si>
  <si>
    <t>30.346 (6.705)</t>
  </si>
  <si>
    <t>3.149 (0.712)</t>
  </si>
  <si>
    <t>0.861 (0.151)</t>
  </si>
  <si>
    <t>0.863 (0.152)</t>
  </si>
  <si>
    <t>27.654 (6.269)</t>
  </si>
  <si>
    <t>Δ Shannon's H</t>
  </si>
  <si>
    <t>Shannon's H Mean</t>
  </si>
  <si>
    <t>Shannon's H SD</t>
  </si>
  <si>
    <t>Mean Difference</t>
  </si>
  <si>
    <t>Contrast</t>
  </si>
  <si>
    <t>1.93 - 2.49</t>
  </si>
  <si>
    <t>-0.59 - 0.21</t>
  </si>
  <si>
    <t>-1.15 - 0.15</t>
  </si>
  <si>
    <t>-0.32 - 0.60</t>
  </si>
  <si>
    <t>Chi-Sq</t>
  </si>
  <si>
    <t>Average</t>
  </si>
  <si>
    <t>SD</t>
  </si>
  <si>
    <t>Cumulative Sum</t>
  </si>
  <si>
    <t>Ratio</t>
  </si>
  <si>
    <t>Verulux cypselurus</t>
  </si>
  <si>
    <t>Plotosus lineatus</t>
  </si>
  <si>
    <t>Chromis ternatensis</t>
  </si>
  <si>
    <t>Ostorhinchus cyanosoma</t>
  </si>
  <si>
    <t>Spratelloides gracilis</t>
  </si>
  <si>
    <t>Spratelloides delicatulus</t>
  </si>
  <si>
    <t>Pycnochromis retrofasciatus</t>
  </si>
  <si>
    <t>Cirrhilabrus ryukyuensis</t>
  </si>
  <si>
    <t>Ostorhinchus nigrofasciatus</t>
  </si>
  <si>
    <t>Ostorhinchus multilineatus</t>
  </si>
  <si>
    <t>Ostorhinchus fleurieu</t>
  </si>
  <si>
    <t>Dascyllus reticulatus</t>
  </si>
  <si>
    <t>Chrysiptera rollandi</t>
  </si>
  <si>
    <t>Enneapterygius</t>
  </si>
  <si>
    <t>Cirrhilabrus</t>
  </si>
  <si>
    <t>Pycnochromis atripes</t>
  </si>
  <si>
    <t>Helcogramma desa</t>
  </si>
  <si>
    <t>t-ratio</t>
  </si>
  <si>
    <t>29.000 (6.423)</t>
  </si>
  <si>
    <t>0.910 (0.054)</t>
  </si>
  <si>
    <t>19.820 (5.481)</t>
  </si>
  <si>
    <t>14.480 (8.554)</t>
  </si>
  <si>
    <t>17.150 (7.468)</t>
  </si>
  <si>
    <t>14.956 (7.380)</t>
  </si>
  <si>
    <t>26.806 (6.580)</t>
  </si>
  <si>
    <t># si_1978_su_2022</t>
  </si>
  <si>
    <t xml:space="preserve"># si_1978: Group A (ava) </t>
  </si>
  <si>
    <t># su_2022: Group B (avb)</t>
  </si>
  <si>
    <t>si_1978</t>
  </si>
  <si>
    <t>su_2022</t>
  </si>
  <si>
    <t># Bohol Sea_Sulu Sea</t>
  </si>
  <si>
    <t xml:space="preserve"># Bohol Sea: Group A (ava) </t>
  </si>
  <si>
    <t># Sulu Sea: Group B (avb)</t>
  </si>
  <si>
    <t>Bohol</t>
  </si>
  <si>
    <t>Sulu</t>
  </si>
  <si>
    <t>## Bohol Sea temporal change ##</t>
  </si>
  <si>
    <t># si_1978_Bohol Sea_su_2022_Bohol Sea</t>
  </si>
  <si>
    <t xml:space="preserve"># si_1978_Bohol Sea: Group A (ava) </t>
  </si>
  <si>
    <t># su_2022_Bohol Sea: Group B (avb)</t>
  </si>
  <si>
    <t>Historical Bohol Sea</t>
  </si>
  <si>
    <t>Modern Bohol Sea</t>
  </si>
  <si>
    <t>## Sulu Sea temporal change ##</t>
  </si>
  <si>
    <t># si_1978_Sulu Sea_su_2022_Sulu Sea</t>
  </si>
  <si>
    <t xml:space="preserve"># si_1978_Sulu Sea: Group A (ava) </t>
  </si>
  <si>
    <t># su_2022_Sulu Sea: Group B (avb)</t>
  </si>
  <si>
    <t>Historical Sulu Sea</t>
  </si>
  <si>
    <t>Modern Sulu Sea</t>
  </si>
  <si>
    <t>si_19_sulu</t>
  </si>
  <si>
    <t>si_18_sulu</t>
  </si>
  <si>
    <t>si_12_bohol</t>
  </si>
  <si>
    <t>si_03_bohol</t>
  </si>
  <si>
    <t>si_01_bohol</t>
  </si>
  <si>
    <t>si_04_bohol</t>
  </si>
  <si>
    <t>su_19_sulu</t>
  </si>
  <si>
    <t>su_20_sulu</t>
  </si>
  <si>
    <t>su_14_sulu</t>
  </si>
  <si>
    <t>su_18_sulu</t>
  </si>
  <si>
    <t>su_17_sulu</t>
  </si>
  <si>
    <t>si_14_sulu</t>
  </si>
  <si>
    <t>si_17_sulu</t>
  </si>
  <si>
    <t>si_20_sulu</t>
  </si>
  <si>
    <t>si_15_sulu</t>
  </si>
  <si>
    <t>si_16_sulu</t>
  </si>
  <si>
    <t>si_13_bohol</t>
  </si>
  <si>
    <t>si_08_bohol</t>
  </si>
  <si>
    <t>si_21_sulu</t>
  </si>
  <si>
    <t>su_16_sulu</t>
  </si>
  <si>
    <t>su_15_sulu</t>
  </si>
  <si>
    <t>su_10_bohol</t>
  </si>
  <si>
    <t>su_04_bohol</t>
  </si>
  <si>
    <t>su_13_bohol</t>
  </si>
  <si>
    <t>su_11_bohol</t>
  </si>
  <si>
    <t>su_07_bohol</t>
  </si>
  <si>
    <t>su_06_bohol</t>
  </si>
  <si>
    <t>su_08_bohol</t>
  </si>
  <si>
    <t>su_05_bohol</t>
  </si>
  <si>
    <t>su_21_sulu</t>
  </si>
  <si>
    <t>su_03_bohol</t>
  </si>
  <si>
    <t>si_07_bohol</t>
  </si>
  <si>
    <t>si_11_bohol</t>
  </si>
  <si>
    <t>si_06_bohol</t>
  </si>
  <si>
    <t>si_10_bohol</t>
  </si>
  <si>
    <t>si_05_bohol</t>
  </si>
  <si>
    <t>su_01_bohol</t>
  </si>
  <si>
    <t>su_02_bohol</t>
  </si>
  <si>
    <t>su_09_bohol</t>
  </si>
  <si>
    <t>si_02_bohol</t>
  </si>
  <si>
    <t>si_09_bohol</t>
  </si>
  <si>
    <t>su_12_bohol</t>
  </si>
  <si>
    <t>SIMPROF Significant Cluster</t>
  </si>
  <si>
    <t>Depth (m)</t>
  </si>
  <si>
    <t>Each model tests the effects of survey period (Era: SI 1978/79, SU 2019/22), Sea (Bohol, Sulu), and their interaction (Era × Sea) on each alpha diversity metric (Shannon diversity H, Simpson index, Inverse Simpson, unbiased Simpson, Fisher's alpha). Models include station-pair as a random intercept. For each term, the fixed effect estimate, standard error (SE), 95% confidence interval (CI), Wald chi-square statistic, degrees of freedom, and p-value are shown. The interaction term tests whether temporal changes in diversity differ between Seas.</t>
  </si>
  <si>
    <t>Models did not include station-pair as a random intercept.</t>
  </si>
  <si>
    <t>Formula</t>
  </si>
  <si>
    <t>metric ~ sea * survey + Error(station_pair/survey)</t>
  </si>
  <si>
    <t>DEPRECATED. Don't use this formula. Use the mixed model formula with random intercept for station_pair: metric ~ study * sea + (1 | station_pair)</t>
  </si>
  <si>
    <t>Mean Shannon's H (SD)</t>
  </si>
  <si>
    <t>Mean Inverse Simpson (SD)</t>
  </si>
  <si>
    <t>Mean Unbiased Simpson (SD)</t>
  </si>
  <si>
    <t>Mean Alpha (SD)</t>
  </si>
  <si>
    <t>Mean Simpson Index (SD)</t>
  </si>
  <si>
    <t>Simpson Index</t>
  </si>
  <si>
    <t>Df</t>
  </si>
  <si>
    <t>Residuals</t>
  </si>
  <si>
    <t>lmer(CWM_TrophicLevel ~ study * sea + (1 | station_pair)</t>
  </si>
  <si>
    <t>car::Anova(mod_CWM, type = "III")</t>
  </si>
  <si>
    <t>Chisq</t>
  </si>
  <si>
    <t>Pr(&gt;Chisq)</t>
  </si>
  <si>
    <t>&lt;2e-16</t>
  </si>
  <si>
    <t>***</t>
  </si>
  <si>
    <t>Fixed</t>
  </si>
  <si>
    <t>effects:</t>
  </si>
  <si>
    <t>Pr(&gt;|t|)</t>
  </si>
  <si>
    <t>t-value</t>
  </si>
  <si>
    <r>
      <rPr>
        <b/>
        <sz val="12"/>
        <color theme="1"/>
        <rFont val="Times New Roman"/>
        <family val="1"/>
      </rPr>
      <t>Table S1</t>
    </r>
    <r>
      <rPr>
        <sz val="12"/>
        <color theme="1"/>
        <rFont val="Times New Roman"/>
        <family val="1"/>
      </rPr>
      <t>. Temporal change in alpha diversity indices means for 21 duplicated reef fish community stations in the Sulu and Bohol Seas sampled during two survey eras (SI 1978/1979 and SU 2019/2022). Values are presented as the difference in the mean for Shannon diversity (H), Simpson’s diversity, inverse Simpson’s diversity, unbiased Simpson’s diversity, and Fisher’s alpha, calculated at each station and each sea. “All” indicates values pooled across both seas.</t>
    </r>
  </si>
  <si>
    <r>
      <t>Table S9</t>
    </r>
    <r>
      <rPr>
        <sz val="12"/>
        <color rgb="FF000000"/>
        <rFont val="Times New Roman"/>
        <family val="1"/>
      </rPr>
      <t>. Similarity percentages (</t>
    </r>
    <r>
      <rPr>
        <i/>
        <sz val="12"/>
        <color rgb="FF000000"/>
        <rFont val="Times New Roman"/>
        <family val="1"/>
      </rPr>
      <t>simper</t>
    </r>
    <r>
      <rPr>
        <sz val="12"/>
        <color rgb="FF000000"/>
        <rFont val="Times New Roman"/>
        <family val="1"/>
      </rPr>
      <t xml:space="preserve"> function in the </t>
    </r>
    <r>
      <rPr>
        <i/>
        <sz val="12"/>
        <color rgb="FF000000"/>
        <rFont val="Times New Roman"/>
        <family val="1"/>
      </rPr>
      <t>vegan</t>
    </r>
    <r>
      <rPr>
        <sz val="12"/>
        <color rgb="FF000000"/>
        <rFont val="Times New Roman"/>
        <family val="1"/>
      </rPr>
      <t xml:space="preserve"> package) of the top species that contribute to 20% of the cumulative differences between survey eras in the Sulu Sea. </t>
    </r>
  </si>
  <si>
    <r>
      <t>Table S8</t>
    </r>
    <r>
      <rPr>
        <sz val="12"/>
        <color rgb="FF000000"/>
        <rFont val="Times New Roman"/>
        <family val="1"/>
      </rPr>
      <t>. Similarity percentages (</t>
    </r>
    <r>
      <rPr>
        <i/>
        <sz val="12"/>
        <color rgb="FF000000"/>
        <rFont val="Times New Roman"/>
        <family val="1"/>
      </rPr>
      <t>simper</t>
    </r>
    <r>
      <rPr>
        <sz val="12"/>
        <color rgb="FF000000"/>
        <rFont val="Times New Roman"/>
        <family val="1"/>
      </rPr>
      <t xml:space="preserve"> function in the </t>
    </r>
    <r>
      <rPr>
        <i/>
        <sz val="12"/>
        <color rgb="FF000000"/>
        <rFont val="Times New Roman"/>
        <family val="1"/>
      </rPr>
      <t>vegan</t>
    </r>
    <r>
      <rPr>
        <sz val="12"/>
        <color rgb="FF000000"/>
        <rFont val="Times New Roman"/>
        <family val="1"/>
      </rPr>
      <t xml:space="preserve"> package) of the top species that contribute to 20% of the cumulative differences between survey eras in the Bohol Sea. </t>
    </r>
  </si>
  <si>
    <r>
      <t>Table S7</t>
    </r>
    <r>
      <rPr>
        <sz val="12"/>
        <color rgb="FF000000"/>
        <rFont val="Times New Roman"/>
        <family val="1"/>
      </rPr>
      <t>. Similarity percentages (</t>
    </r>
    <r>
      <rPr>
        <i/>
        <sz val="12"/>
        <color rgb="FF000000"/>
        <rFont val="Times New Roman"/>
        <family val="1"/>
      </rPr>
      <t>simper</t>
    </r>
    <r>
      <rPr>
        <sz val="12"/>
        <color rgb="FF000000"/>
        <rFont val="Times New Roman"/>
        <family val="1"/>
      </rPr>
      <t xml:space="preserve"> function in the </t>
    </r>
    <r>
      <rPr>
        <i/>
        <sz val="12"/>
        <color rgb="FF000000"/>
        <rFont val="Times New Roman"/>
        <family val="1"/>
      </rPr>
      <t>vegan</t>
    </r>
    <r>
      <rPr>
        <sz val="12"/>
        <color rgb="FF000000"/>
        <rFont val="Times New Roman"/>
        <family val="1"/>
      </rPr>
      <t xml:space="preserve"> package) of the top species that contribute to 20% of the cumulative differences between seas. </t>
    </r>
  </si>
  <si>
    <r>
      <t>Table S6</t>
    </r>
    <r>
      <rPr>
        <sz val="12"/>
        <color rgb="FF000000"/>
        <rFont val="Times New Roman"/>
        <family val="1"/>
      </rPr>
      <t>. Similarity percentages (</t>
    </r>
    <r>
      <rPr>
        <i/>
        <sz val="12"/>
        <color rgb="FF000000"/>
        <rFont val="Times New Roman"/>
        <family val="1"/>
      </rPr>
      <t>simper</t>
    </r>
    <r>
      <rPr>
        <sz val="12"/>
        <color rgb="FF000000"/>
        <rFont val="Times New Roman"/>
        <family val="1"/>
      </rPr>
      <t xml:space="preserve"> function in the </t>
    </r>
    <r>
      <rPr>
        <i/>
        <sz val="12"/>
        <color rgb="FF000000"/>
        <rFont val="Times New Roman"/>
        <family val="1"/>
      </rPr>
      <t>vegan</t>
    </r>
    <r>
      <rPr>
        <sz val="12"/>
        <color rgb="FF000000"/>
        <rFont val="Times New Roman"/>
        <family val="1"/>
      </rPr>
      <t xml:space="preserve"> package) of the top species that contribute to 20% of the cumulative differences between survey eras. </t>
    </r>
  </si>
  <si>
    <t xml:space="preserve">Table #. </t>
  </si>
  <si>
    <r>
      <rPr>
        <b/>
        <sz val="12"/>
        <color theme="1"/>
        <rFont val="Times New Roman"/>
        <family val="1"/>
      </rPr>
      <t>Table 2</t>
    </r>
    <r>
      <rPr>
        <sz val="12"/>
        <color theme="1"/>
        <rFont val="Times New Roman"/>
        <family val="1"/>
      </rPr>
      <t xml:space="preserve">. Summary of additive alpha diversity indices for reef fish communities sampled in the Sulu and Bohol Seas during two survey eras (Historical: SI 1978/1979 and Modern: SU 2019/2022). Values are presented as the mean and standard deviation (SD) for Shannon diversity (H), Simpson’s diversity, inverse Simpson’s diversity, unbiased Simpson’s diversity, and Fisher’s alpha, calculated at each station and averaged among survey era, sea, and each era:sea combination. </t>
    </r>
  </si>
  <si>
    <t>Δ Shannon's H Equalized</t>
  </si>
  <si>
    <t>Pielou's Evenness (J)</t>
  </si>
  <si>
    <t>Pielou's Evenness (J) Equalized</t>
  </si>
  <si>
    <t>Δ Pielou's Evenness (J)</t>
  </si>
  <si>
    <t>Δ Pielou's Evenness (J) Equalized</t>
  </si>
  <si>
    <t>Δ Simpson Index Equalized</t>
  </si>
  <si>
    <t>Δ Inverse Simpson Equalized</t>
  </si>
  <si>
    <t>Observed Species Richness (S)</t>
  </si>
  <si>
    <t>Δ Observed Species Richness (S)</t>
  </si>
  <si>
    <t>Shannon's H Equalized</t>
  </si>
  <si>
    <t>Simpson Index Equalized</t>
  </si>
  <si>
    <t>Inverse Simpson Equalized</t>
  </si>
  <si>
    <t>species</t>
  </si>
  <si>
    <t>average</t>
  </si>
  <si>
    <t>sd</t>
  </si>
  <si>
    <t>cumsum</t>
  </si>
  <si>
    <t>ratio</t>
  </si>
  <si>
    <t>pomacentrus_brachialis</t>
  </si>
  <si>
    <t>gymnothorax_zonipectis</t>
  </si>
  <si>
    <t>fowleria_marmorata</t>
  </si>
  <si>
    <t>chrysiptera_talboti</t>
  </si>
  <si>
    <t>liopropoma_mitratum</t>
  </si>
  <si>
    <t>223 species (lowest_tax_cat) found in Historical Bohol, but not found in Modern Bohol</t>
  </si>
  <si>
    <t>187 species (lowest_tax_cat) found in Modern Bohol, but not found in Historical Bohol</t>
  </si>
  <si>
    <t>pycnochromis_atripes</t>
  </si>
  <si>
    <t>cirripectes_filamentosus</t>
  </si>
  <si>
    <t>ostorhinchus_aroubiensis</t>
  </si>
  <si>
    <t>apogon_coccineus</t>
  </si>
  <si>
    <t>ostorhinchus_neotes</t>
  </si>
  <si>
    <t>alionematichthys_plicatosurculus</t>
  </si>
  <si>
    <t>trimma_milta</t>
  </si>
  <si>
    <t>trimma_taylori</t>
  </si>
  <si>
    <t>eviota_pellucida</t>
  </si>
  <si>
    <t>pycnochromis_agilis</t>
  </si>
  <si>
    <t>fowleria_aurita</t>
  </si>
  <si>
    <t>trimma_capostriatum</t>
  </si>
  <si>
    <t>trimma_tevegae</t>
  </si>
  <si>
    <t>asterropteryx_semipunctata</t>
  </si>
  <si>
    <t>sunagocia_arenicola</t>
  </si>
  <si>
    <t>pelates_quadrilineatus</t>
  </si>
  <si>
    <t>enneapterygius_similis</t>
  </si>
  <si>
    <t>arothron_hispidus</t>
  </si>
  <si>
    <t>abantennarius_coccineus</t>
  </si>
  <si>
    <t>neamia_octospina_2</t>
  </si>
  <si>
    <t>enneapterygius_unimaculatus</t>
  </si>
  <si>
    <t>arothron_manilensis</t>
  </si>
  <si>
    <t>sebastapistes_fowleri</t>
  </si>
  <si>
    <t>istiblennius_dussumieri</t>
  </si>
  <si>
    <t>cirripectes_stigmaticus</t>
  </si>
  <si>
    <t>siphamia_tubifer</t>
  </si>
  <si>
    <t>meiacanthus_ditrema</t>
  </si>
  <si>
    <t>amblycirrhitus_bimacula</t>
  </si>
  <si>
    <t>ecsenius_pictus</t>
  </si>
  <si>
    <t>cirripectes_springeri</t>
  </si>
  <si>
    <t>ostorhinchus_cookii</t>
  </si>
  <si>
    <t>thalassoma_jansenii</t>
  </si>
  <si>
    <t>sebastapistes_strongia</t>
  </si>
  <si>
    <t>meiacanthus_atrodorsalis</t>
  </si>
  <si>
    <t>canthigaster_ocellicincta</t>
  </si>
  <si>
    <t>thalassoma_amblycephalum</t>
  </si>
  <si>
    <t>chaetodon_punctatofasciatus</t>
  </si>
  <si>
    <t>ecsenius_lividanalis</t>
  </si>
  <si>
    <t>asterorhombus_cocosensis</t>
  </si>
  <si>
    <t>plectranthias_longimanus</t>
  </si>
  <si>
    <t>neoniphon_sammara</t>
  </si>
  <si>
    <t>platax_orbicularis</t>
  </si>
  <si>
    <t>cirrhitichthys_aprinus</t>
  </si>
  <si>
    <t>enchelyurus_kraussi</t>
  </si>
  <si>
    <t>trimma_anaima</t>
  </si>
  <si>
    <t>pleurosicya_labiata</t>
  </si>
  <si>
    <t>trimma_yanoi</t>
  </si>
  <si>
    <t>apogonichthyoides_timorensis</t>
  </si>
  <si>
    <t>terapon_jarbua</t>
  </si>
  <si>
    <t>pleurosicya_fringilla</t>
  </si>
  <si>
    <t>wetmorella_albofasciata</t>
  </si>
  <si>
    <t>epinephelus_bontoides</t>
  </si>
  <si>
    <t>amphiprion_sandaracinos</t>
  </si>
  <si>
    <t>aporops_bilinearis</t>
  </si>
  <si>
    <t>gobiopsis_bravoi</t>
  </si>
  <si>
    <t>samariscus_triocellatus_2</t>
  </si>
  <si>
    <t>fusigobius_neophytus</t>
  </si>
  <si>
    <t>helcogramma_inclinata</t>
  </si>
  <si>
    <t>fibramia_lateralis</t>
  </si>
  <si>
    <t>istigobius_ornatus</t>
  </si>
  <si>
    <t>scorpaenopsis_brevifrons</t>
  </si>
  <si>
    <t>liopropoma_collettei</t>
  </si>
  <si>
    <t>paracirrhites_forsteri</t>
  </si>
  <si>
    <t>pervagor_melanocephalus</t>
  </si>
  <si>
    <t>scorpaenodes_minor</t>
  </si>
  <si>
    <t>pleurosicya_plicata</t>
  </si>
  <si>
    <t>canthigaster_axiologus</t>
  </si>
  <si>
    <t>aseraggodes_matsuurai</t>
  </si>
  <si>
    <t>paragobiodon_modestus</t>
  </si>
  <si>
    <t>petroscirtes_variabilis</t>
  </si>
  <si>
    <t>choeroichthys_brachysoma</t>
  </si>
  <si>
    <t>atrosalarias_hosokawai</t>
  </si>
  <si>
    <t>dascyllus_melanurus</t>
  </si>
  <si>
    <t>paragobiodon_echinocephalus</t>
  </si>
  <si>
    <t>neoglyphidodon_thoracotaeniatus</t>
  </si>
  <si>
    <t>arothron_reticularis</t>
  </si>
  <si>
    <t>foa_fo</t>
  </si>
  <si>
    <t>lethrinus_harak</t>
  </si>
  <si>
    <t>lutjanus_johnii</t>
  </si>
  <si>
    <t>parioglossus_raoi</t>
  </si>
  <si>
    <t>plectorhinchus_lineatus</t>
  </si>
  <si>
    <t>yongeichthys_nebulosus</t>
  </si>
  <si>
    <t>chaetodon_ornatissimus</t>
  </si>
  <si>
    <t>platax_pinnatus</t>
  </si>
  <si>
    <t>doryrhamphus_janssi</t>
  </si>
  <si>
    <t>parioglossus_rainfordi</t>
  </si>
  <si>
    <t>taeniamia_dispilus</t>
  </si>
  <si>
    <t>cabillus_tongarevae</t>
  </si>
  <si>
    <t>chaetodon_citrinellus</t>
  </si>
  <si>
    <t>lepadicyathus_minor</t>
  </si>
  <si>
    <t>salarias_patzneri</t>
  </si>
  <si>
    <t>coris_dorsomacula</t>
  </si>
  <si>
    <t>ctenochaetus_strigosus</t>
  </si>
  <si>
    <t>gnathodentex_aureolineatus</t>
  </si>
  <si>
    <t>koumansetta_rainfordi</t>
  </si>
  <si>
    <t>parioglossus_nudus</t>
  </si>
  <si>
    <t>pseudoplesiops_annae</t>
  </si>
  <si>
    <t>amphiprion_bicinctus</t>
  </si>
  <si>
    <t>anampses_melanurus</t>
  </si>
  <si>
    <t>corythoichthys_ocellatus</t>
  </si>
  <si>
    <t>opistognathus_hyalinus</t>
  </si>
  <si>
    <t>acanthurus_nigricans</t>
  </si>
  <si>
    <t>amanses_scopas</t>
  </si>
  <si>
    <t>chaetodon_ephippium</t>
  </si>
  <si>
    <t>epinephelus_ongus</t>
  </si>
  <si>
    <t>gymnapogon_urospilotus</t>
  </si>
  <si>
    <t>lutjanus_quinquelineatus</t>
  </si>
  <si>
    <t>ostorhinchus_doederleini</t>
  </si>
  <si>
    <t>parupeneus_barberinoides</t>
  </si>
  <si>
    <t>parupeneus_indicus</t>
  </si>
  <si>
    <t>brachaelurus_waddi</t>
  </si>
  <si>
    <t>brotulinella_taiwanensis</t>
  </si>
  <si>
    <t>halichoeres_timorensis</t>
  </si>
  <si>
    <t>chaetodon_speculum</t>
  </si>
  <si>
    <t>plectorhinchus_lessonii</t>
  </si>
  <si>
    <t>salarias_guttatus</t>
  </si>
  <si>
    <t>siganus_puellus</t>
  </si>
  <si>
    <t>callogobius_centrolepis</t>
  </si>
  <si>
    <t>siphamia_argentea</t>
  </si>
  <si>
    <t>alionematichthys_riukiuensis</t>
  </si>
  <si>
    <t>scorpaenodes_albaiensis</t>
  </si>
  <si>
    <t>nectamia_viria</t>
  </si>
  <si>
    <t>priolepis_semidoliata</t>
  </si>
  <si>
    <t>cirripectes_castaneus</t>
  </si>
  <si>
    <t>chaetodon_triangulum</t>
  </si>
  <si>
    <t>synchiropus_bartelsi</t>
  </si>
  <si>
    <t>nectamia_savayensis</t>
  </si>
  <si>
    <t>flabellicauda_alleni</t>
  </si>
  <si>
    <t>parascorpaena_moultoni</t>
  </si>
  <si>
    <t>129 were significant (p &lt; 0.05)</t>
  </si>
  <si>
    <t>4 were significant (p &lt; 0.05)</t>
  </si>
  <si>
    <t>192 species (lowest_tax_cat) found in Modern Sulu, but not found in Historical Sulu</t>
  </si>
  <si>
    <t>0 were significant (p &lt; 0.05)</t>
  </si>
  <si>
    <t>scolopsis_margaritifera</t>
  </si>
  <si>
    <t>pleurosicya_muscarum</t>
  </si>
  <si>
    <t>2 were significant (p &lt; 0.05)</t>
  </si>
  <si>
    <t>213 species (lowest_tax_cat) found in Historical Sulu, but not found in Modern Sulu</t>
  </si>
  <si>
    <t>equalize.groups: Instead of observed abundances, standardize all communities to unit total.</t>
  </si>
  <si>
    <t>ANOVA: Type III ANOVA results from the linear mixed-effects model testing spatiotemporal effects on community-weighted mean trophic level. Terms include fixed effects for study (era), sea, and their interaction. Significant terms are bolded.</t>
  </si>
  <si>
    <t xml:space="preserve">Fixed Effects: Fixed effects estimates for the linear mixed-effects model evaluating spatiotemporal differences in community-weighted mean trophic level. Columns include the estimate, standard error (SE), and 95% confidence interval (CI). </t>
  </si>
  <si>
    <t>Survey:Sea</t>
  </si>
  <si>
    <t xml:space="preserve">Table #. Two-way repeated measures ANOVA on alpha diversity metrics between survey, sea, and survey:sea interation.  </t>
  </si>
  <si>
    <r>
      <rPr>
        <b/>
        <sz val="12"/>
        <color theme="1"/>
        <rFont val="Times New Roman"/>
        <family val="1"/>
      </rPr>
      <t>Table 2</t>
    </r>
    <r>
      <rPr>
        <sz val="12"/>
        <color theme="1"/>
        <rFont val="Times New Roman"/>
        <family val="1"/>
      </rPr>
      <t xml:space="preserve">. Summary of additive alpha diversity indices for reef fish communities sampled in the Sulu and Bohol Seas during two survey eras (Historical: SI 1978/1979 and Modern: SU 2019/2022). Values are presented as the mean and standard deviation (SD) for Shannon diversity (H), Simpson’s diversity, inverse Simpson’s diversity, unbiased Simpson’s diversity, and Fisher’s alpha, calculated at each station and averaged among survey era, sea, and each survey:sea combination. </t>
    </r>
  </si>
  <si>
    <r>
      <rPr>
        <b/>
        <sz val="12"/>
        <color theme="1"/>
        <rFont val="Times New Roman"/>
        <family val="1"/>
      </rPr>
      <t>Table S2</t>
    </r>
    <r>
      <rPr>
        <sz val="12"/>
        <color theme="1"/>
        <rFont val="Times New Roman"/>
        <family val="1"/>
      </rPr>
      <t xml:space="preserve">. Pairwise post-hoc comparisons (Tukey-adjusted) for estimated marginal means from linear mixed-effects models of alpha diversity indices. Contrasts include all six pairwise comparisons between the four Survey:Sea combinations. Refer to Table 3 for details. </t>
    </r>
  </si>
  <si>
    <t xml:space="preserve">Table #. Two-way repeated measures ANOVA on beta diversity distances between survey era, sea, and survey:sea interation. distance ~ survey * sea  </t>
  </si>
  <si>
    <t>Intercept (Historical Bohol Sea)</t>
  </si>
  <si>
    <t>Survey (Modern - Historical)</t>
  </si>
  <si>
    <t>Sea (Sulu - Bohol)</t>
  </si>
  <si>
    <t>Survey × Sea</t>
  </si>
  <si>
    <t>Chao</t>
  </si>
  <si>
    <t>ACE</t>
  </si>
  <si>
    <t>χ²</t>
  </si>
  <si>
    <t>Intercept</t>
  </si>
  <si>
    <t>&lt; 0.001</t>
  </si>
  <si>
    <r>
      <rPr>
        <b/>
        <sz val="12"/>
        <color theme="1"/>
        <rFont val="Times New Roman"/>
        <family val="1"/>
      </rPr>
      <t>Table 1</t>
    </r>
    <r>
      <rPr>
        <sz val="12"/>
        <color theme="1"/>
        <rFont val="Times New Roman"/>
        <family val="1"/>
      </rPr>
      <t xml:space="preserve">. Sample sizes and counts of unique families, genera, and species for each survey era and sea combination. The Historical survey is the Smithsonian survey that sampled in 1978 and 1979 and Modern survey is the Silliman University survey that duplicated the same stations in 2019 and 2022. The number of genera include taxa that were identified to the family level and were combined into a species complex. The number of species include taxa that were identified to the genus or family level and were combined into a species complex. </t>
    </r>
  </si>
  <si>
    <r>
      <t>χ</t>
    </r>
    <r>
      <rPr>
        <b/>
        <i/>
        <vertAlign val="superscript"/>
        <sz val="12"/>
        <color theme="1"/>
        <rFont val="Times New Roman"/>
        <family val="1"/>
      </rPr>
      <t>2</t>
    </r>
  </si>
  <si>
    <t>metric</t>
  </si>
  <si>
    <t>estimate</t>
  </si>
  <si>
    <t>t.ratio</t>
  </si>
  <si>
    <t>p.value</t>
  </si>
  <si>
    <t>Historical Bohol - Modern Bohol</t>
  </si>
  <si>
    <t>Historical Bohol - Historical Sulu</t>
  </si>
  <si>
    <t>Historical Bohol - Modern Sulu</t>
  </si>
  <si>
    <t>Modern Bohol - Historical Sulu</t>
  </si>
  <si>
    <t>Modern Bohol - Modern Sulu</t>
  </si>
  <si>
    <t>Historical Sulu - Modern Sulu</t>
  </si>
  <si>
    <t>J</t>
  </si>
  <si>
    <t>simpson</t>
  </si>
  <si>
    <t>invsimpson</t>
  </si>
  <si>
    <t>unbias_simp</t>
  </si>
  <si>
    <t>alpha</t>
  </si>
  <si>
    <t>model_term</t>
  </si>
  <si>
    <t>estimate_fixef</t>
  </si>
  <si>
    <t>std_error</t>
  </si>
  <si>
    <t>chi_square_anova</t>
  </si>
  <si>
    <t>-0.03 - 0.12</t>
  </si>
  <si>
    <t>-0.07 - 0.12</t>
  </si>
  <si>
    <t>-0.24 - 0.01</t>
  </si>
  <si>
    <t>0.70 - 0.82</t>
  </si>
  <si>
    <t>perm &lt;- adonis2(</t>
  </si>
  <si>
    <t xml:space="preserve">  bc_dist ~ study * sea,</t>
  </si>
  <si>
    <t xml:space="preserve">  data = data_vegan.env,</t>
  </si>
  <si>
    <t xml:space="preserve">  permutations = 999</t>
  </si>
  <si>
    <t>)</t>
  </si>
  <si>
    <t>si_1978 Sulu - su_2022 Sulu</t>
  </si>
  <si>
    <t>si_1978 Bohol - su_2022 Bohol</t>
  </si>
  <si>
    <t>si_1978 Bohol - si_1978 Sulu</t>
  </si>
  <si>
    <t>si_1978 Bohol - su_2022 Sulu</t>
  </si>
  <si>
    <t>su_2022 Bohol - si_1978 Sulu</t>
  </si>
  <si>
    <t>su_2022 Bohol - su_2022 Sulu</t>
  </si>
  <si>
    <t>Pielou's J</t>
  </si>
  <si>
    <t>term</t>
  </si>
  <si>
    <t>chao</t>
  </si>
  <si>
    <t>ace</t>
  </si>
  <si>
    <t>81.39 - 112.96</t>
  </si>
  <si>
    <t>-15.5 - 27.88</t>
  </si>
  <si>
    <t>16.66 - 67.82</t>
  </si>
  <si>
    <t>-60.34 - 9.95</t>
  </si>
  <si>
    <t>85.08 - 115.79</t>
  </si>
  <si>
    <t>-15.27 - 23.77</t>
  </si>
  <si>
    <t>17.22 - 66.98</t>
  </si>
  <si>
    <t>-51.84 - 11.41</t>
  </si>
  <si>
    <r>
      <rPr>
        <b/>
        <sz val="12"/>
        <color theme="1"/>
        <rFont val="Times New Roman"/>
        <family val="1"/>
      </rPr>
      <t>Table S1</t>
    </r>
    <r>
      <rPr>
        <sz val="12"/>
        <color theme="1"/>
        <rFont val="Times New Roman"/>
        <family val="1"/>
      </rPr>
      <t>. Pairwise post-hoc comparisons (Tukey-adjusted) for estimated marginal means from linear mixed-effects models of diversity metrics. Contrasts include all six pairwise comparisons between the four Survey x Sea combinations.</t>
    </r>
  </si>
  <si>
    <r>
      <rPr>
        <b/>
        <sz val="12"/>
        <color theme="1"/>
        <rFont val="Times New Roman"/>
        <family val="1"/>
      </rPr>
      <t>Table S2</t>
    </r>
    <r>
      <rPr>
        <sz val="12"/>
        <color theme="1"/>
        <rFont val="Times New Roman"/>
        <family val="1"/>
      </rPr>
      <t xml:space="preserve">. Pairwise post-hoc comparisons (Tukey-adjusted) for estimated marginal means from linear mixed-effects models of Chao and ACE estimates of species richness at each station sampled. Contrasts include all six pairwise comparisons between the four Survey x Sea combinations. Significant contrasts are indicated in bold. </t>
    </r>
  </si>
  <si>
    <t>Survey x Sea</t>
  </si>
  <si>
    <t>Report Table S3 (beta dispersion test) in the supplement to document that the assumptions of PERMANOVA were tested and met.</t>
  </si>
  <si>
    <t>p.adjusted</t>
  </si>
  <si>
    <t>sig</t>
  </si>
  <si>
    <t>*</t>
  </si>
  <si>
    <t>.</t>
  </si>
  <si>
    <t>bonferoni</t>
  </si>
  <si>
    <t>Pairwise comparisons were conducted between the four survey and sea groupings—Historical Bohol Sea, Modern Bohol Sea, Historical Sulu Sea, and Modern Sulu Sea—using the pairwise.adonis2 function from the pairwiseAdonis package (Martinez Arbizu 2020). The model was based on square-root-transformed abundance data and Bray–Curtis distances. Each comparison reports the R² (variance explained), pseudo-F statistic, and both unadjusted and Bonferroni-adjusted p-values (999 permutations). Significant differences (p &lt; 0.05) after adjustment are bolded. The results complement the global PERMANOVA model reported in Table 4 and support spatiotemporal differentiation in reef fish communities.</t>
  </si>
  <si>
    <t>Historical Bohol vs Historical Sulu</t>
  </si>
  <si>
    <t>Historical Bohol vs Modern Bohol</t>
  </si>
  <si>
    <t>Historical Sulu vs Modern Bohol</t>
  </si>
  <si>
    <t>Historical Bohol vs Modern Sulu</t>
  </si>
  <si>
    <t>Historical Sulu vs Modern Sulu</t>
  </si>
  <si>
    <t>Modern Bohol vs Modern Sulu</t>
  </si>
  <si>
    <t>Pairs</t>
  </si>
  <si>
    <r>
      <t>R</t>
    </r>
    <r>
      <rPr>
        <b/>
        <i/>
        <vertAlign val="superscript"/>
        <sz val="12"/>
        <color theme="1"/>
        <rFont val="Times New Roman"/>
        <family val="1"/>
      </rPr>
      <t>2</t>
    </r>
  </si>
  <si>
    <r>
      <rPr>
        <b/>
        <sz val="12"/>
        <color theme="1"/>
        <rFont val="Times New Roman"/>
        <family val="1"/>
      </rPr>
      <t>Table S5</t>
    </r>
    <r>
      <rPr>
        <sz val="12"/>
        <color theme="1"/>
        <rFont val="Times New Roman"/>
        <family val="1"/>
      </rPr>
      <t xml:space="preserve">. Similarity profile test (SIMPROF) of significant structure (α = 0.05) between clusters in the Bray–Curtis dendrogram using the </t>
    </r>
    <r>
      <rPr>
        <i/>
        <sz val="12"/>
        <color theme="1"/>
        <rFont val="Times New Roman"/>
        <family val="1"/>
      </rPr>
      <t xml:space="preserve">simprof </t>
    </r>
    <r>
      <rPr>
        <sz val="12"/>
        <color theme="1"/>
        <rFont val="Times New Roman"/>
        <family val="1"/>
      </rPr>
      <t xml:space="preserve">function from the </t>
    </r>
    <r>
      <rPr>
        <i/>
        <sz val="12"/>
        <color theme="1"/>
        <rFont val="Times New Roman"/>
        <family val="1"/>
      </rPr>
      <t>clustsig</t>
    </r>
    <r>
      <rPr>
        <sz val="12"/>
        <color theme="1"/>
        <rFont val="Times New Roman"/>
        <family val="1"/>
      </rPr>
      <t xml:space="preserve"> package. Seventeen SIMPROF significant clusters were identified from the 42 stations across the Bohol and Sulu Seas and the historical (SI 1978/79) and modern (SU 2019/22) survey eras.</t>
    </r>
  </si>
  <si>
    <r>
      <rPr>
        <b/>
        <sz val="12"/>
        <color theme="1"/>
        <rFont val="Times New Roman"/>
        <family val="1"/>
      </rPr>
      <t>Table 5</t>
    </r>
    <r>
      <rPr>
        <sz val="12"/>
        <color theme="1"/>
        <rFont val="Times New Roman"/>
        <family val="1"/>
      </rPr>
      <t xml:space="preserve">. Pairwise PERMANOVA results comparing reef fish community composition across four study–sea combinations using Bray–Curtis dissimilarity. F-statistic represents pseudo-F statistics. P-values are bonferroni-adjusted. Bold indicates significant p-values. </t>
    </r>
  </si>
  <si>
    <r>
      <rPr>
        <b/>
        <sz val="12"/>
        <color theme="1"/>
        <rFont val="Times New Roman"/>
        <family val="1"/>
      </rPr>
      <t>Table 2</t>
    </r>
    <r>
      <rPr>
        <sz val="12"/>
        <color theme="1"/>
        <rFont val="Times New Roman"/>
        <family val="1"/>
      </rPr>
      <t xml:space="preserve">. Results of linear mixed-effect models (LME) testing spatiotemporal differences on alpha diversity metrics for paired reef fish communities. Each metric was analyzed using a linear mixed-effect model of the form: metric ~ Survey * Sea + (1 | station_pair) where Survey (Historical: SI 1978/1979 vs. Modern: SU 2019/2022) and Sea (Bohol Sea vs. Sulu Sea) were treated as fixed effects and station_pair (duplicated site code) as a random effect (accounting for repeated sampling). For each metric, fixed-effect estimates are shown with standard errors (SE) and 95% confidence intervals (CI). Analysis of Deviance (Type III ANOVA) tests are shown with Wald chi-square statistics (χ²) and corresponding p-values. The Intercept represents Historical Bohol Sea; the Survey represents the difference between Modern and Historical surveys in the Bohol Sea; the Sea represents the difference between the Sulu and the Bohol Seas within the Historical Survey, and the Survey </t>
    </r>
    <r>
      <rPr>
        <b/>
        <sz val="12"/>
        <color theme="1"/>
        <rFont val="Times New Roman"/>
        <family val="1"/>
      </rPr>
      <t xml:space="preserve">× Sea interaction represents the additional difference for the Modern Sulu Sea. </t>
    </r>
  </si>
  <si>
    <r>
      <rPr>
        <b/>
        <sz val="12"/>
        <color theme="1"/>
        <rFont val="Times New Roman"/>
        <family val="1"/>
      </rPr>
      <t>Table 3</t>
    </r>
    <r>
      <rPr>
        <sz val="12"/>
        <color theme="1"/>
        <rFont val="Times New Roman"/>
        <family val="1"/>
      </rPr>
      <t xml:space="preserve">. Results of linear mixed-effect models (LME) testing spatiotemporal differences on Chao and ACE for paired reef fish communities. Each metric was analyzed using a linear mixed-effect model of the form: metric ~ Survey * Sea + (1 | station_pair) where Survey (Historical: SI 1978/1979 vs. Modern: SU 2019/2022) and Sea (Bohol Sea vs. Sulu Sea) were treated as fixed effects and station pair as a random effect (accounting for repeated sampling). For each metric, fixed-effect estimates are shown with standard errors (SE) and 95% confidence intervals (CI). Analysis of Deviance (Type III ANOVA) tests are shown with Wald chi-square statistics (χ²) and corresponding p-values. The Intercept represents Historical Bohol Sea; the Survey represents the difference between Modern and Historical surveys in the Bohol Sea; the Sea represents the difference between the Sulu and the Bohol Seas within the Historical Survey, and the Survey × Sea interaction represents the additional difference for the Modern Sulu Sea. </t>
    </r>
  </si>
  <si>
    <r>
      <rPr>
        <b/>
        <sz val="12"/>
        <color theme="1"/>
        <rFont val="Times New Roman"/>
        <family val="1"/>
      </rPr>
      <t>Table 4</t>
    </r>
    <r>
      <rPr>
        <sz val="12"/>
        <color theme="1"/>
        <rFont val="Times New Roman"/>
        <family val="1"/>
      </rPr>
      <t>. PERMANOVA of community centroids by Survey, Sea, and the Survey x Sea interaction on Bray–Curtis distances (</t>
    </r>
    <r>
      <rPr>
        <i/>
        <sz val="12"/>
        <color theme="1"/>
        <rFont val="Times New Roman"/>
        <family val="1"/>
      </rPr>
      <t>bc_dist</t>
    </r>
    <r>
      <rPr>
        <sz val="12"/>
        <color theme="1"/>
        <rFont val="Times New Roman"/>
        <family val="1"/>
      </rPr>
      <t xml:space="preserve">) using the </t>
    </r>
    <r>
      <rPr>
        <i/>
        <sz val="12"/>
        <color theme="1"/>
        <rFont val="Times New Roman"/>
        <family val="1"/>
      </rPr>
      <t xml:space="preserve">adonis2 </t>
    </r>
    <r>
      <rPr>
        <sz val="12"/>
        <color theme="1"/>
        <rFont val="Times New Roman"/>
        <family val="1"/>
      </rPr>
      <t xml:space="preserve">function from the </t>
    </r>
    <r>
      <rPr>
        <i/>
        <sz val="12"/>
        <color theme="1"/>
        <rFont val="Times New Roman"/>
        <family val="1"/>
      </rPr>
      <t xml:space="preserve">vegan </t>
    </r>
    <r>
      <rPr>
        <sz val="12"/>
        <color theme="1"/>
        <rFont val="Times New Roman"/>
        <family val="1"/>
      </rPr>
      <t xml:space="preserve">package with the formula </t>
    </r>
    <r>
      <rPr>
        <i/>
        <sz val="12"/>
        <color theme="1"/>
        <rFont val="Times New Roman"/>
        <family val="1"/>
      </rPr>
      <t xml:space="preserve">bc_dist ~ survey * sea </t>
    </r>
    <r>
      <rPr>
        <sz val="12"/>
        <color theme="1"/>
        <rFont val="Times New Roman"/>
        <family val="1"/>
      </rPr>
      <t xml:space="preserve">and 999 permutations. df: degrees of freedom; Sum Sq: sum of squares; Mean Sq: mean square; F-statistic: pseudo-F statistic; R²: proportion of variance explained; </t>
    </r>
    <r>
      <rPr>
        <i/>
        <sz val="12"/>
        <color theme="1"/>
        <rFont val="Times New Roman"/>
        <family val="1"/>
      </rPr>
      <t>p</t>
    </r>
    <r>
      <rPr>
        <sz val="12"/>
        <color theme="1"/>
        <rFont val="Times New Roman"/>
        <family val="1"/>
      </rPr>
      <t xml:space="preserve">: p-value. Significant terms are indicated in bold. The Intercept represents Historical Bohol Sea; the Survey represents the difference between Modern and Historical surveys in the Bohol Sea; the Sea represents the difference between the Sulu and the Bohol Seas within the Historical Survey, and the Survey × Sea interaction represents the additional difference for the Modern Sulu Sea. </t>
    </r>
  </si>
  <si>
    <r>
      <rPr>
        <b/>
        <sz val="12"/>
        <color theme="1"/>
        <rFont val="Times New Roman"/>
        <family val="1"/>
      </rPr>
      <t>Table S3</t>
    </r>
    <r>
      <rPr>
        <sz val="12"/>
        <color theme="1"/>
        <rFont val="Times New Roman"/>
        <family val="1"/>
      </rPr>
      <t>. Results from a two-way repeated measures ANOVA test for homogeneity of dispersions (</t>
    </r>
    <r>
      <rPr>
        <i/>
        <sz val="12"/>
        <color theme="1"/>
        <rFont val="Times New Roman"/>
        <family val="1"/>
      </rPr>
      <t>betadisper</t>
    </r>
    <r>
      <rPr>
        <sz val="12"/>
        <color theme="1"/>
        <rFont val="Times New Roman"/>
        <family val="1"/>
      </rPr>
      <t xml:space="preserve"> function in the</t>
    </r>
    <r>
      <rPr>
        <i/>
        <sz val="12"/>
        <color theme="1"/>
        <rFont val="Times New Roman"/>
        <family val="1"/>
      </rPr>
      <t xml:space="preserve"> vegan</t>
    </r>
    <r>
      <rPr>
        <sz val="12"/>
        <color theme="1"/>
        <rFont val="Times New Roman"/>
        <family val="1"/>
      </rPr>
      <t xml:space="preserve"> package) on Bray–Curtis distances using the formula </t>
    </r>
    <r>
      <rPr>
        <i/>
        <sz val="12"/>
        <color theme="1"/>
        <rFont val="Times New Roman"/>
        <family val="1"/>
      </rPr>
      <t>distance ~ survey * sea</t>
    </r>
    <r>
      <rPr>
        <sz val="12"/>
        <color theme="1"/>
        <rFont val="Times New Roman"/>
        <family val="1"/>
      </rPr>
      <t xml:space="preserve"> to test for effects of Survey, Sea, and their interaction (Survey x Sea). The Intercept represents Historical Bohol Sea; the Survey represents the difference between Modern and Historical surveys in the Bohol Sea; the Sea represents the difference between the Sulu and the Bohol Seas within the Historical Survey, and the Survey × Sea interaction represents the additional difference for the Modern Sulu Sea. </t>
    </r>
  </si>
  <si>
    <r>
      <rPr>
        <b/>
        <sz val="12"/>
        <color theme="1"/>
        <rFont val="Times New Roman"/>
        <family val="1"/>
      </rPr>
      <t>Table S4</t>
    </r>
    <r>
      <rPr>
        <sz val="12"/>
        <color theme="1"/>
        <rFont val="Times New Roman"/>
        <family val="1"/>
      </rPr>
      <t xml:space="preserve">. Results of linear mixed-effect models (LME) testing spatiotemporal differences on community-weighted mean trophic level (cwm_troph) for paired reef fish communities analyzed using a linear mixed-effect model of the form </t>
    </r>
    <r>
      <rPr>
        <i/>
        <sz val="12"/>
        <color theme="1"/>
        <rFont val="Times New Roman"/>
        <family val="1"/>
      </rPr>
      <t>cwm_troph ~ Survey * Sea + (1 | station_pair)</t>
    </r>
    <r>
      <rPr>
        <sz val="12"/>
        <color theme="1"/>
        <rFont val="Times New Roman"/>
        <family val="1"/>
      </rPr>
      <t xml:space="preserve"> where survey (Historical: SI 1978/1979 vs. Modern: SU 2019/2022) and Sea (Bohol Sea vs. Sulu Sea) were treated as fixed effects and station_pair (duplicated site code) as a random effect (accounting for repeated sampling). Fixed-effect estimates are shown with standard errors (SE) and 95% confidence intervals (CI). Analysis of Deviance (Type III ANOVA) tests are shown with Wald chi-square statistics (χ2) and corresponding p-values. The Intercept represents Historical Bohol Sea; the Survey represents the difference between Modern and Historical surveys in the Bohol Sea; the Sea represents the difference between the Sulu and the Bohol Seas within the Historical Survey, and the Survey × Sea interaction represents the additional difference for the Modern Sulu Sea. </t>
    </r>
  </si>
  <si>
    <t>Individuals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</si>
</sst>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26"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2"/>
      <color theme="1"/>
      <name val="Times New Roman"/>
      <family val="1"/>
    </font>
    <font>
      <b/>
      <sz val="12"/>
      <color theme="1"/>
      <name val="Times New Roman"/>
      <family val="1"/>
    </font>
    <font>
      <b/>
      <i/>
      <sz val="12"/>
      <color theme="1"/>
      <name val="Times New Roman"/>
      <family val="1"/>
    </font>
    <font>
      <i/>
      <sz val="12"/>
      <color theme="1"/>
      <name val="Times New Roman"/>
      <family val="1"/>
    </font>
    <font>
      <b/>
      <sz val="12"/>
      <color rgb="FF000000"/>
      <name val="Times New Roman"/>
      <family val="1"/>
    </font>
    <font>
      <sz val="12"/>
      <color rgb="FF000000"/>
      <name val="Times New Roman"/>
      <family val="1"/>
    </font>
    <font>
      <i/>
      <sz val="12"/>
      <color rgb="FF000000"/>
      <name val="Times New Roman"/>
      <family val="1"/>
    </font>
    <font>
      <b/>
      <i/>
      <vertAlign val="superscript"/>
      <sz val="12"/>
      <color theme="1"/>
      <name val="Times New Roman"/>
      <family val="1"/>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1">
    <xf numFmtId="0" fontId="0" fillId="0" borderId="0" xfId="0"/>
    <xf numFmtId="0" fontId="18" fillId="0" borderId="0" xfId="0" applyFont="1"/>
    <xf numFmtId="0" fontId="18" fillId="0" borderId="0" xfId="0" applyFont="1" applyAlignment="1">
      <alignment horizontal="center" vertical="top"/>
    </xf>
    <xf numFmtId="0" fontId="18" fillId="0" borderId="10" xfId="0" applyFont="1" applyBorder="1"/>
    <xf numFmtId="0" fontId="18" fillId="0" borderId="10" xfId="0" applyFont="1" applyBorder="1" applyAlignment="1">
      <alignment horizontal="center" vertical="top"/>
    </xf>
    <xf numFmtId="0" fontId="18" fillId="0" borderId="10" xfId="0" applyFont="1" applyBorder="1" applyAlignment="1">
      <alignment horizontal="left" vertical="top" wrapText="1"/>
    </xf>
    <xf numFmtId="0" fontId="18" fillId="0" borderId="0" xfId="0" applyFont="1" applyAlignment="1">
      <alignment wrapText="1"/>
    </xf>
    <xf numFmtId="0" fontId="18" fillId="0" borderId="0" xfId="0" applyFont="1" applyAlignment="1">
      <alignment horizontal="left" vertical="top"/>
    </xf>
    <xf numFmtId="2" fontId="18" fillId="0" borderId="0" xfId="0" applyNumberFormat="1" applyFont="1" applyAlignment="1">
      <alignment horizontal="center" vertical="top"/>
    </xf>
    <xf numFmtId="0" fontId="18" fillId="0" borderId="10" xfId="0" applyFont="1" applyBorder="1" applyAlignment="1">
      <alignment horizontal="left" vertical="top"/>
    </xf>
    <xf numFmtId="2" fontId="18" fillId="0" borderId="10" xfId="0" applyNumberFormat="1" applyFont="1" applyBorder="1" applyAlignment="1">
      <alignment horizontal="center" vertical="top"/>
    </xf>
    <xf numFmtId="164" fontId="18" fillId="0" borderId="0" xfId="0" applyNumberFormat="1" applyFont="1" applyAlignment="1">
      <alignment horizontal="center" vertical="top"/>
    </xf>
    <xf numFmtId="164" fontId="18" fillId="0" borderId="10" xfId="0" applyNumberFormat="1" applyFont="1" applyBorder="1" applyAlignment="1">
      <alignment horizontal="center" vertical="top"/>
    </xf>
    <xf numFmtId="0" fontId="19" fillId="0" borderId="10" xfId="0" applyFont="1" applyBorder="1" applyAlignment="1">
      <alignment horizontal="left" vertical="top"/>
    </xf>
    <xf numFmtId="0" fontId="19" fillId="0" borderId="10" xfId="0" applyFont="1" applyBorder="1" applyAlignment="1">
      <alignment horizontal="center" vertical="top"/>
    </xf>
    <xf numFmtId="0" fontId="20" fillId="0" borderId="10" xfId="0" applyFont="1" applyBorder="1" applyAlignment="1">
      <alignment horizontal="center" vertical="top"/>
    </xf>
    <xf numFmtId="0" fontId="19" fillId="0" borderId="10" xfId="0" applyFont="1" applyBorder="1" applyAlignment="1">
      <alignment horizontal="left" vertical="top" wrapText="1"/>
    </xf>
    <xf numFmtId="0" fontId="19" fillId="0" borderId="10" xfId="0" applyFont="1" applyBorder="1" applyAlignment="1">
      <alignment horizontal="center" vertical="top" wrapText="1"/>
    </xf>
    <xf numFmtId="164" fontId="18" fillId="0" borderId="0" xfId="0" applyNumberFormat="1" applyFont="1"/>
    <xf numFmtId="164" fontId="18" fillId="0" borderId="10" xfId="0" applyNumberFormat="1" applyFont="1" applyBorder="1"/>
    <xf numFmtId="0" fontId="18" fillId="0" borderId="0" xfId="0" applyFont="1" applyAlignment="1">
      <alignment horizontal="left" vertical="top" wrapText="1"/>
    </xf>
    <xf numFmtId="164" fontId="18" fillId="0" borderId="0" xfId="0" applyNumberFormat="1" applyFont="1" applyAlignment="1">
      <alignment horizontal="center" vertical="top" wrapText="1"/>
    </xf>
    <xf numFmtId="164" fontId="18" fillId="0" borderId="10" xfId="0" applyNumberFormat="1" applyFont="1" applyBorder="1" applyAlignment="1">
      <alignment horizontal="center" vertical="top" wrapText="1"/>
    </xf>
    <xf numFmtId="0" fontId="19" fillId="0" borderId="10" xfId="0" applyFont="1" applyBorder="1"/>
    <xf numFmtId="0" fontId="18" fillId="0" borderId="10" xfId="0" applyFont="1" applyBorder="1" applyAlignment="1">
      <alignment horizontal="center"/>
    </xf>
    <xf numFmtId="1" fontId="18" fillId="0" borderId="0" xfId="0" applyNumberFormat="1" applyFont="1" applyAlignment="1">
      <alignment horizontal="center" vertical="top"/>
    </xf>
    <xf numFmtId="164" fontId="19" fillId="0" borderId="0" xfId="0" applyNumberFormat="1" applyFont="1" applyAlignment="1">
      <alignment horizontal="center" vertical="top"/>
    </xf>
    <xf numFmtId="0" fontId="18" fillId="0" borderId="0" xfId="0" applyFont="1" applyAlignment="1">
      <alignment horizontal="center"/>
    </xf>
    <xf numFmtId="164" fontId="18" fillId="0" borderId="0" xfId="0" applyNumberFormat="1" applyFont="1" applyAlignment="1">
      <alignment horizontal="center"/>
    </xf>
    <xf numFmtId="165" fontId="18" fillId="0" borderId="0" xfId="0" applyNumberFormat="1" applyFont="1" applyAlignment="1">
      <alignment horizontal="center"/>
    </xf>
    <xf numFmtId="165" fontId="18" fillId="0" borderId="10" xfId="0" applyNumberFormat="1" applyFont="1" applyBorder="1" applyAlignment="1">
      <alignment horizontal="center"/>
    </xf>
    <xf numFmtId="164" fontId="18" fillId="0" borderId="10" xfId="0" applyNumberFormat="1" applyFont="1" applyBorder="1" applyAlignment="1">
      <alignment horizontal="center"/>
    </xf>
    <xf numFmtId="0" fontId="19" fillId="0" borderId="0" xfId="0" applyFont="1" applyAlignment="1">
      <alignment horizontal="center" vertical="top" wrapText="1"/>
    </xf>
    <xf numFmtId="2" fontId="18" fillId="0" borderId="0" xfId="0" applyNumberFormat="1" applyFont="1"/>
    <xf numFmtId="1" fontId="18" fillId="0" borderId="10" xfId="0" applyNumberFormat="1" applyFont="1" applyBorder="1" applyAlignment="1">
      <alignment horizontal="center" vertical="top"/>
    </xf>
    <xf numFmtId="0" fontId="21" fillId="0" borderId="0" xfId="0" applyFont="1" applyAlignment="1">
      <alignment horizontal="left" vertical="top"/>
    </xf>
    <xf numFmtId="0" fontId="21" fillId="0" borderId="10" xfId="0" applyFont="1" applyBorder="1" applyAlignment="1">
      <alignment horizontal="left" vertical="top"/>
    </xf>
    <xf numFmtId="165" fontId="18" fillId="0" borderId="0" xfId="0" applyNumberFormat="1" applyFont="1" applyAlignment="1">
      <alignment horizontal="center" vertical="top"/>
    </xf>
    <xf numFmtId="165" fontId="18" fillId="0" borderId="10" xfId="0" applyNumberFormat="1" applyFont="1" applyBorder="1" applyAlignment="1">
      <alignment horizontal="center" vertical="top"/>
    </xf>
    <xf numFmtId="0" fontId="19" fillId="0" borderId="11" xfId="0" applyFont="1" applyBorder="1" applyAlignment="1">
      <alignment horizontal="center" vertical="top"/>
    </xf>
    <xf numFmtId="0" fontId="19" fillId="0" borderId="11" xfId="0" applyFont="1" applyBorder="1" applyAlignment="1">
      <alignment horizontal="left" vertical="top"/>
    </xf>
    <xf numFmtId="0" fontId="20" fillId="0" borderId="11" xfId="0" applyFont="1" applyBorder="1" applyAlignment="1">
      <alignment horizontal="center" vertical="top"/>
    </xf>
    <xf numFmtId="1" fontId="18" fillId="0" borderId="0" xfId="0" applyNumberFormat="1" applyFont="1" applyAlignment="1">
      <alignment horizontal="left" vertical="top"/>
    </xf>
    <xf numFmtId="2" fontId="18" fillId="0" borderId="0" xfId="0" applyNumberFormat="1" applyFont="1" applyAlignment="1">
      <alignment horizontal="left" vertical="top"/>
    </xf>
    <xf numFmtId="0" fontId="18" fillId="0" borderId="0" xfId="0" applyFont="1" applyAlignment="1">
      <alignment horizontal="left"/>
    </xf>
    <xf numFmtId="0" fontId="18" fillId="0" borderId="12" xfId="0" applyFont="1" applyBorder="1" applyAlignment="1">
      <alignment horizontal="left" vertical="top"/>
    </xf>
    <xf numFmtId="164" fontId="19" fillId="0" borderId="10" xfId="0" applyNumberFormat="1" applyFont="1" applyBorder="1" applyAlignment="1">
      <alignment horizontal="center" vertical="top"/>
    </xf>
    <xf numFmtId="0" fontId="20" fillId="0" borderId="0" xfId="0" applyFont="1" applyAlignment="1">
      <alignment horizontal="left" vertical="top"/>
    </xf>
    <xf numFmtId="0" fontId="20" fillId="0" borderId="10" xfId="0" applyFont="1" applyBorder="1" applyAlignment="1">
      <alignment horizontal="left" vertical="top"/>
    </xf>
    <xf numFmtId="0" fontId="19" fillId="0" borderId="11" xfId="0" applyFont="1" applyBorder="1" applyAlignment="1">
      <alignment horizontal="center" vertical="top" wrapText="1"/>
    </xf>
    <xf numFmtId="0" fontId="22" fillId="0" borderId="0" xfId="0" applyFont="1" applyAlignment="1">
      <alignment vertical="center"/>
    </xf>
    <xf numFmtId="0" fontId="19" fillId="0" borderId="11" xfId="0" applyFont="1" applyBorder="1" applyAlignment="1">
      <alignment horizontal="left" vertical="top" wrapText="1"/>
    </xf>
    <xf numFmtId="164" fontId="18" fillId="0" borderId="0" xfId="0" applyNumberFormat="1" applyFont="1" applyAlignment="1">
      <alignment horizontal="left" vertical="top"/>
    </xf>
    <xf numFmtId="164" fontId="18" fillId="0" borderId="10" xfId="0" applyNumberFormat="1" applyFont="1" applyBorder="1" applyAlignment="1">
      <alignment horizontal="left" vertical="top"/>
    </xf>
    <xf numFmtId="0" fontId="0" fillId="0" borderId="0" xfId="0" applyAlignment="1">
      <alignment horizontal="left" vertical="top"/>
    </xf>
    <xf numFmtId="11" fontId="0" fillId="0" borderId="0" xfId="0" applyNumberFormat="1"/>
    <xf numFmtId="0" fontId="19" fillId="0" borderId="0" xfId="0" applyFont="1" applyAlignment="1">
      <alignment horizontal="left" vertical="top"/>
    </xf>
    <xf numFmtId="0" fontId="19" fillId="0" borderId="0" xfId="0" applyFont="1" applyAlignment="1">
      <alignment horizontal="left" vertical="top" wrapText="1"/>
    </xf>
    <xf numFmtId="0" fontId="22" fillId="0" borderId="10" xfId="0" applyFont="1" applyBorder="1" applyAlignment="1">
      <alignment horizontal="left" vertical="top"/>
    </xf>
    <xf numFmtId="0" fontId="22" fillId="0" borderId="10" xfId="0" applyFont="1" applyBorder="1" applyAlignment="1">
      <alignment vertical="center"/>
    </xf>
    <xf numFmtId="0" fontId="19" fillId="0" borderId="0" xfId="0" applyFont="1" applyAlignment="1">
      <alignment horizontal="center" vertical="top"/>
    </xf>
    <xf numFmtId="2" fontId="19" fillId="0" borderId="0" xfId="0" applyNumberFormat="1" applyFont="1" applyAlignment="1">
      <alignment horizontal="center" vertical="top"/>
    </xf>
    <xf numFmtId="165" fontId="19" fillId="0" borderId="0" xfId="0" applyNumberFormat="1" applyFont="1" applyAlignment="1">
      <alignment horizontal="center" vertical="top"/>
    </xf>
    <xf numFmtId="0" fontId="19" fillId="0" borderId="10" xfId="0" applyFont="1" applyBorder="1" applyAlignment="1">
      <alignment vertical="top"/>
    </xf>
    <xf numFmtId="1" fontId="18" fillId="0" borderId="0" xfId="0" applyNumberFormat="1" applyFont="1" applyAlignment="1">
      <alignment horizontal="center"/>
    </xf>
    <xf numFmtId="0" fontId="19" fillId="0" borderId="12" xfId="0" applyFont="1" applyBorder="1" applyAlignment="1">
      <alignment horizontal="left" vertical="top"/>
    </xf>
    <xf numFmtId="0" fontId="20" fillId="0" borderId="10" xfId="0" applyFont="1" applyBorder="1" applyAlignment="1">
      <alignment horizontal="center" vertical="top" wrapText="1"/>
    </xf>
    <xf numFmtId="165" fontId="19" fillId="0" borderId="10" xfId="0" applyNumberFormat="1" applyFont="1" applyBorder="1" applyAlignment="1">
      <alignment horizontal="center" vertical="top"/>
    </xf>
    <xf numFmtId="0" fontId="18" fillId="0" borderId="0" xfId="0" applyFont="1" applyAlignment="1">
      <alignment vertical="center" wrapText="1"/>
    </xf>
    <xf numFmtId="0" fontId="18" fillId="0" borderId="0" xfId="0" applyFont="1" applyAlignment="1">
      <alignment vertical="center"/>
    </xf>
    <xf numFmtId="0" fontId="18" fillId="0" borderId="0" xfId="0" applyFont="1" applyAlignment="1">
      <alignment vertical="top"/>
    </xf>
    <xf numFmtId="0" fontId="18" fillId="0" borderId="10" xfId="0" applyFont="1" applyBorder="1" applyAlignment="1">
      <alignment vertical="top"/>
    </xf>
    <xf numFmtId="0" fontId="19" fillId="0" borderId="0" xfId="0" applyFont="1" applyAlignment="1">
      <alignment horizontal="center" vertical="top"/>
    </xf>
    <xf numFmtId="0" fontId="18" fillId="0" borderId="12" xfId="0" applyFont="1" applyBorder="1" applyAlignment="1">
      <alignment vertical="center"/>
    </xf>
    <xf numFmtId="0" fontId="18" fillId="0" borderId="0" xfId="0" applyFont="1" applyAlignment="1">
      <alignment horizontal="left" vertical="center"/>
    </xf>
    <xf numFmtId="0" fontId="18" fillId="0" borderId="0" xfId="0" applyFont="1" applyAlignment="1">
      <alignment horizontal="center" vertical="center"/>
    </xf>
    <xf numFmtId="0" fontId="18" fillId="0" borderId="10" xfId="0" applyFont="1" applyBorder="1" applyAlignment="1">
      <alignment horizontal="center" vertical="center"/>
    </xf>
    <xf numFmtId="0" fontId="18" fillId="0" borderId="12" xfId="0" applyFont="1" applyBorder="1" applyAlignment="1">
      <alignment horizontal="center" vertical="center"/>
    </xf>
    <xf numFmtId="0" fontId="19" fillId="0" borderId="12" xfId="0" applyFont="1" applyBorder="1" applyAlignment="1">
      <alignment horizontal="center" vertical="top"/>
    </xf>
    <xf numFmtId="0" fontId="18" fillId="0" borderId="12" xfId="0" applyFont="1" applyBorder="1" applyAlignment="1">
      <alignment horizontal="left" vertical="center"/>
    </xf>
    <xf numFmtId="0" fontId="18" fillId="0" borderId="10" xfId="0" applyFont="1" applyBorder="1" applyAlignment="1">
      <alignment horizontal="lef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4F4328-E828-4117-88A5-9254A6CE725E}">
  <dimension ref="B2:S12"/>
  <sheetViews>
    <sheetView topLeftCell="B1" workbookViewId="0">
      <selection activeCell="D3" sqref="D3:J12"/>
    </sheetView>
  </sheetViews>
  <sheetFormatPr defaultRowHeight="15.3" x14ac:dyDescent="0.55000000000000004"/>
  <cols>
    <col min="1" max="1" width="14.1015625" style="1" customWidth="1"/>
    <col min="2" max="3" width="10.578125" style="1" customWidth="1"/>
    <col min="4" max="10" width="13.5234375" style="1" customWidth="1"/>
    <col min="11" max="16384" width="8.83984375" style="1"/>
  </cols>
  <sheetData>
    <row r="2" spans="2:19" x14ac:dyDescent="0.55000000000000004">
      <c r="B2" s="3"/>
      <c r="D2" s="3" t="s">
        <v>475</v>
      </c>
      <c r="E2" s="3"/>
      <c r="F2" s="3"/>
      <c r="G2" s="3"/>
      <c r="H2" s="3"/>
      <c r="I2" s="3"/>
    </row>
    <row r="3" spans="2:19" x14ac:dyDescent="0.55000000000000004">
      <c r="B3" s="13" t="s">
        <v>9</v>
      </c>
      <c r="C3" s="56"/>
      <c r="D3" s="13" t="s">
        <v>9</v>
      </c>
      <c r="E3" s="13" t="s">
        <v>0</v>
      </c>
      <c r="F3" s="14" t="s">
        <v>8</v>
      </c>
      <c r="G3" s="14" t="s">
        <v>65</v>
      </c>
      <c r="H3" s="14" t="s">
        <v>1</v>
      </c>
      <c r="I3" s="14" t="s">
        <v>2</v>
      </c>
      <c r="J3" s="39" t="s">
        <v>548</v>
      </c>
      <c r="M3"/>
      <c r="N3"/>
      <c r="O3"/>
      <c r="P3"/>
      <c r="Q3"/>
      <c r="R3"/>
      <c r="S3"/>
    </row>
    <row r="4" spans="2:19" x14ac:dyDescent="0.55000000000000004">
      <c r="B4" s="7" t="s">
        <v>3</v>
      </c>
      <c r="C4" s="7"/>
      <c r="D4" s="7" t="s">
        <v>3</v>
      </c>
      <c r="E4" s="7" t="s">
        <v>3</v>
      </c>
      <c r="F4" s="2">
        <v>42</v>
      </c>
      <c r="G4" s="2">
        <v>77</v>
      </c>
      <c r="H4" s="2">
        <v>292</v>
      </c>
      <c r="I4" s="2">
        <v>957</v>
      </c>
      <c r="J4" s="2">
        <v>26254</v>
      </c>
      <c r="M4"/>
      <c r="N4"/>
      <c r="O4"/>
      <c r="P4"/>
      <c r="Q4"/>
      <c r="R4"/>
      <c r="S4"/>
    </row>
    <row r="5" spans="2:19" x14ac:dyDescent="0.55000000000000004">
      <c r="B5" s="7" t="s">
        <v>92</v>
      </c>
      <c r="C5" s="7"/>
      <c r="D5" s="7" t="s">
        <v>95</v>
      </c>
      <c r="E5" s="7" t="s">
        <v>3</v>
      </c>
      <c r="F5" s="2">
        <v>21</v>
      </c>
      <c r="G5" s="2">
        <v>59</v>
      </c>
      <c r="H5" s="2">
        <v>237</v>
      </c>
      <c r="I5" s="2">
        <v>677</v>
      </c>
      <c r="J5" s="2">
        <v>15081</v>
      </c>
      <c r="M5"/>
      <c r="N5"/>
      <c r="O5"/>
      <c r="P5"/>
      <c r="Q5"/>
      <c r="R5"/>
      <c r="S5"/>
    </row>
    <row r="6" spans="2:19" x14ac:dyDescent="0.55000000000000004">
      <c r="B6" s="7" t="s">
        <v>93</v>
      </c>
      <c r="C6" s="7"/>
      <c r="D6" s="7" t="s">
        <v>96</v>
      </c>
      <c r="E6" s="7" t="s">
        <v>3</v>
      </c>
      <c r="F6" s="2">
        <v>21</v>
      </c>
      <c r="G6" s="2">
        <v>62</v>
      </c>
      <c r="H6" s="2">
        <v>226</v>
      </c>
      <c r="I6" s="2">
        <v>617</v>
      </c>
      <c r="J6" s="2">
        <v>11173</v>
      </c>
      <c r="M6"/>
      <c r="N6"/>
      <c r="O6"/>
      <c r="P6"/>
      <c r="Q6"/>
      <c r="R6"/>
      <c r="S6"/>
    </row>
    <row r="7" spans="2:19" x14ac:dyDescent="0.55000000000000004">
      <c r="B7" s="7" t="s">
        <v>3</v>
      </c>
      <c r="C7" s="7"/>
      <c r="D7" s="7" t="s">
        <v>3</v>
      </c>
      <c r="E7" s="7" t="s">
        <v>6</v>
      </c>
      <c r="F7" s="2">
        <v>26</v>
      </c>
      <c r="G7" s="2">
        <v>69</v>
      </c>
      <c r="H7" s="2">
        <v>231</v>
      </c>
      <c r="I7" s="2">
        <v>670</v>
      </c>
      <c r="J7" s="2">
        <v>10903</v>
      </c>
      <c r="M7"/>
      <c r="N7"/>
      <c r="O7"/>
      <c r="P7"/>
      <c r="Q7"/>
      <c r="R7"/>
      <c r="S7"/>
    </row>
    <row r="8" spans="2:19" x14ac:dyDescent="0.55000000000000004">
      <c r="B8" s="7" t="s">
        <v>3</v>
      </c>
      <c r="C8" s="7"/>
      <c r="D8" s="7" t="s">
        <v>3</v>
      </c>
      <c r="E8" s="7" t="s">
        <v>7</v>
      </c>
      <c r="F8" s="2">
        <v>16</v>
      </c>
      <c r="G8" s="2">
        <v>70</v>
      </c>
      <c r="H8" s="2">
        <v>240</v>
      </c>
      <c r="I8" s="2">
        <v>667</v>
      </c>
      <c r="J8" s="2">
        <v>15351</v>
      </c>
      <c r="M8"/>
      <c r="N8"/>
      <c r="O8"/>
      <c r="P8"/>
      <c r="Q8"/>
      <c r="R8"/>
      <c r="S8"/>
    </row>
    <row r="9" spans="2:19" x14ac:dyDescent="0.55000000000000004">
      <c r="B9" s="7" t="s">
        <v>92</v>
      </c>
      <c r="C9" s="7"/>
      <c r="D9" s="7" t="s">
        <v>95</v>
      </c>
      <c r="E9" s="7" t="s">
        <v>6</v>
      </c>
      <c r="F9" s="2">
        <v>13</v>
      </c>
      <c r="G9" s="2">
        <v>52</v>
      </c>
      <c r="H9" s="2">
        <v>186</v>
      </c>
      <c r="I9" s="2">
        <v>460</v>
      </c>
      <c r="J9" s="2">
        <v>7537</v>
      </c>
      <c r="M9"/>
      <c r="N9"/>
      <c r="O9"/>
      <c r="P9"/>
      <c r="Q9"/>
      <c r="R9"/>
      <c r="S9"/>
    </row>
    <row r="10" spans="2:19" x14ac:dyDescent="0.55000000000000004">
      <c r="B10" s="7" t="s">
        <v>93</v>
      </c>
      <c r="C10" s="7"/>
      <c r="D10" s="7" t="s">
        <v>96</v>
      </c>
      <c r="E10" s="7" t="s">
        <v>6</v>
      </c>
      <c r="F10" s="2">
        <v>13</v>
      </c>
      <c r="G10" s="2">
        <v>56</v>
      </c>
      <c r="H10" s="2">
        <v>174</v>
      </c>
      <c r="I10" s="2">
        <v>396</v>
      </c>
      <c r="J10" s="2">
        <v>3366</v>
      </c>
      <c r="M10"/>
      <c r="N10"/>
      <c r="O10"/>
      <c r="P10"/>
      <c r="Q10"/>
      <c r="R10"/>
      <c r="S10"/>
    </row>
    <row r="11" spans="2:19" x14ac:dyDescent="0.55000000000000004">
      <c r="B11" s="7" t="s">
        <v>92</v>
      </c>
      <c r="C11" s="7"/>
      <c r="D11" s="7" t="s">
        <v>95</v>
      </c>
      <c r="E11" s="7" t="s">
        <v>7</v>
      </c>
      <c r="F11" s="2">
        <v>8</v>
      </c>
      <c r="G11" s="2">
        <v>52</v>
      </c>
      <c r="H11" s="2">
        <v>186</v>
      </c>
      <c r="I11" s="2">
        <v>456</v>
      </c>
      <c r="J11" s="2">
        <v>7544</v>
      </c>
      <c r="M11"/>
      <c r="N11"/>
      <c r="O11"/>
      <c r="P11"/>
      <c r="Q11"/>
      <c r="R11"/>
      <c r="S11"/>
    </row>
    <row r="12" spans="2:19" x14ac:dyDescent="0.55000000000000004">
      <c r="B12" s="9" t="s">
        <v>93</v>
      </c>
      <c r="C12" s="7"/>
      <c r="D12" s="9" t="s">
        <v>96</v>
      </c>
      <c r="E12" s="9" t="s">
        <v>7</v>
      </c>
      <c r="F12" s="4">
        <v>8</v>
      </c>
      <c r="G12" s="4">
        <v>55</v>
      </c>
      <c r="H12" s="4">
        <v>178</v>
      </c>
      <c r="I12" s="4">
        <v>410</v>
      </c>
      <c r="J12" s="4">
        <v>7807</v>
      </c>
      <c r="M12"/>
      <c r="N12"/>
      <c r="O12"/>
      <c r="P12"/>
      <c r="Q12"/>
      <c r="R12"/>
      <c r="S1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1058D-E33C-40AB-B65C-BCF146145601}">
  <dimension ref="B2:W56"/>
  <sheetViews>
    <sheetView tabSelected="1" workbookViewId="0">
      <selection activeCell="B2" sqref="B2"/>
    </sheetView>
  </sheetViews>
  <sheetFormatPr defaultRowHeight="15.3" x14ac:dyDescent="0.55000000000000004"/>
  <cols>
    <col min="1" max="1" width="6.3671875" style="1" customWidth="1"/>
    <col min="2" max="2" width="20.68359375" style="1" customWidth="1"/>
    <col min="3" max="3" width="18.47265625" style="1" customWidth="1"/>
    <col min="4" max="4" width="10.5234375" style="1" customWidth="1"/>
    <col min="5" max="5" width="8.83984375" style="1"/>
    <col min="6" max="6" width="12.3125" style="1" bestFit="1" customWidth="1"/>
    <col min="7" max="7" width="10.62890625" style="1" bestFit="1" customWidth="1"/>
    <col min="8" max="21" width="8.83984375" style="1"/>
    <col min="22" max="22" width="19.05078125" style="1" customWidth="1"/>
    <col min="23" max="16384" width="8.83984375" style="1"/>
  </cols>
  <sheetData>
    <row r="2" spans="2:23" x14ac:dyDescent="0.55000000000000004">
      <c r="B2" s="3" t="s">
        <v>543</v>
      </c>
      <c r="C2" s="3"/>
      <c r="D2" s="3"/>
      <c r="E2" s="3"/>
      <c r="F2" s="3"/>
      <c r="G2" s="3"/>
      <c r="H2" s="3"/>
    </row>
    <row r="3" spans="2:23" x14ac:dyDescent="0.55000000000000004">
      <c r="B3" s="7"/>
      <c r="C3" s="7"/>
      <c r="D3" s="72" t="s">
        <v>117</v>
      </c>
      <c r="E3" s="72"/>
      <c r="F3" s="72"/>
      <c r="G3" s="72" t="s">
        <v>118</v>
      </c>
      <c r="H3" s="72"/>
      <c r="J3" s="7"/>
      <c r="K3" s="7"/>
      <c r="L3" s="72" t="s">
        <v>117</v>
      </c>
      <c r="M3" s="72"/>
      <c r="N3" s="72"/>
      <c r="O3" s="72" t="s">
        <v>118</v>
      </c>
      <c r="P3" s="72"/>
      <c r="Q3" s="3"/>
      <c r="R3" s="3"/>
      <c r="S3" s="3"/>
      <c r="T3" s="3"/>
      <c r="U3" s="3"/>
      <c r="V3" s="3"/>
      <c r="W3" s="3"/>
    </row>
    <row r="4" spans="2:23" ht="17.399999999999999" x14ac:dyDescent="0.55000000000000004">
      <c r="B4" s="63" t="s">
        <v>28</v>
      </c>
      <c r="C4" s="13" t="s">
        <v>97</v>
      </c>
      <c r="D4" s="14" t="s">
        <v>119</v>
      </c>
      <c r="E4" s="14" t="s">
        <v>85</v>
      </c>
      <c r="F4" s="14" t="s">
        <v>121</v>
      </c>
      <c r="G4" s="15" t="s">
        <v>476</v>
      </c>
      <c r="H4" s="15" t="s">
        <v>30</v>
      </c>
      <c r="J4" s="13" t="s">
        <v>28</v>
      </c>
      <c r="K4" s="13" t="s">
        <v>97</v>
      </c>
      <c r="L4" s="14" t="s">
        <v>119</v>
      </c>
      <c r="M4" s="14" t="s">
        <v>120</v>
      </c>
      <c r="N4" s="14" t="s">
        <v>121</v>
      </c>
      <c r="O4" s="14" t="s">
        <v>122</v>
      </c>
      <c r="P4" s="15" t="s">
        <v>30</v>
      </c>
      <c r="Q4" s="23" t="s">
        <v>37</v>
      </c>
      <c r="R4" s="23" t="s">
        <v>78</v>
      </c>
      <c r="S4" s="23" t="s">
        <v>79</v>
      </c>
      <c r="T4" s="23" t="s">
        <v>78</v>
      </c>
      <c r="U4" s="23" t="s">
        <v>79</v>
      </c>
      <c r="V4" s="3" t="s">
        <v>99</v>
      </c>
      <c r="W4" s="3" t="s">
        <v>99</v>
      </c>
    </row>
    <row r="5" spans="2:23" x14ac:dyDescent="0.55000000000000004">
      <c r="B5" s="73" t="s">
        <v>125</v>
      </c>
      <c r="C5" s="7" t="s">
        <v>473</v>
      </c>
      <c r="D5" s="8">
        <v>3.2025266639228702</v>
      </c>
      <c r="E5" s="8">
        <v>0.13013241736167599</v>
      </c>
      <c r="F5" s="2" t="s">
        <v>100</v>
      </c>
      <c r="G5" s="25">
        <v>605.63994853022405</v>
      </c>
      <c r="H5" s="11">
        <v>9.9328716509145392E-134</v>
      </c>
      <c r="J5" s="7" t="s">
        <v>80</v>
      </c>
      <c r="K5" s="7" t="s">
        <v>38</v>
      </c>
      <c r="L5" s="8">
        <v>3.2025266639228702</v>
      </c>
      <c r="M5" s="8">
        <v>0.13013241736167599</v>
      </c>
      <c r="N5" s="2" t="s">
        <v>100</v>
      </c>
      <c r="O5" s="25">
        <v>605.63994853022405</v>
      </c>
      <c r="P5" s="11">
        <v>9.9328716509145392E-134</v>
      </c>
      <c r="Q5" s="1">
        <v>1</v>
      </c>
      <c r="R5" s="1">
        <v>2.9474718126728501</v>
      </c>
      <c r="S5" s="1">
        <v>3.4575815151728899</v>
      </c>
      <c r="T5" s="1">
        <f>ROUND(R5,2)</f>
        <v>2.95</v>
      </c>
      <c r="U5" s="1">
        <f>ROUND(S5,2)</f>
        <v>3.46</v>
      </c>
      <c r="V5" s="1" t="str">
        <f>_xlfn.CONCAT(T5, " - ", U5)</f>
        <v>2.95 - 3.46</v>
      </c>
      <c r="W5" s="1" t="s">
        <v>100</v>
      </c>
    </row>
    <row r="6" spans="2:23" x14ac:dyDescent="0.55000000000000004">
      <c r="B6" s="69"/>
      <c r="C6" s="7" t="s">
        <v>9</v>
      </c>
      <c r="D6" s="8">
        <v>6.9062396121551003E-2</v>
      </c>
      <c r="E6" s="8">
        <v>0.15746145749347701</v>
      </c>
      <c r="F6" s="2" t="s">
        <v>101</v>
      </c>
      <c r="G6" s="8">
        <v>0.192368850642509</v>
      </c>
      <c r="H6" s="11">
        <v>0.66095231354802897</v>
      </c>
      <c r="J6" s="7" t="s">
        <v>80</v>
      </c>
      <c r="K6" s="7" t="s">
        <v>94</v>
      </c>
      <c r="L6" s="8">
        <v>6.9062396121551003E-2</v>
      </c>
      <c r="M6" s="8">
        <v>0.15746145749347701</v>
      </c>
      <c r="N6" s="2" t="s">
        <v>101</v>
      </c>
      <c r="O6" s="8">
        <v>0.192368850642509</v>
      </c>
      <c r="P6" s="11">
        <v>0.66095231354802897</v>
      </c>
      <c r="Q6" s="1">
        <v>1</v>
      </c>
      <c r="R6" s="1">
        <v>-0.239556389518848</v>
      </c>
      <c r="S6" s="1">
        <v>0.37768118176194998</v>
      </c>
      <c r="T6" s="1">
        <f t="shared" ref="T6:T23" si="0">ROUND(R6,2)</f>
        <v>-0.24</v>
      </c>
      <c r="U6" s="1">
        <f t="shared" ref="U6:U24" si="1">ROUND(S6,2)</f>
        <v>0.38</v>
      </c>
      <c r="V6" s="1" t="str">
        <f t="shared" ref="V6:V24" si="2">_xlfn.CONCAT(T6, " - ", U6)</f>
        <v>-0.24 - 0.38</v>
      </c>
      <c r="W6" s="1" t="s">
        <v>101</v>
      </c>
    </row>
    <row r="7" spans="2:23" x14ac:dyDescent="0.55000000000000004">
      <c r="B7" s="69"/>
      <c r="C7" s="7" t="s">
        <v>0</v>
      </c>
      <c r="D7" s="8">
        <v>0.39106710396841998</v>
      </c>
      <c r="E7" s="8">
        <v>0.21083861334450299</v>
      </c>
      <c r="F7" s="2" t="s">
        <v>102</v>
      </c>
      <c r="G7" s="8">
        <v>3.4403471535491499</v>
      </c>
      <c r="H7" s="11">
        <v>6.36223231443796E-2</v>
      </c>
      <c r="J7" s="7" t="s">
        <v>80</v>
      </c>
      <c r="K7" s="7" t="s">
        <v>0</v>
      </c>
      <c r="L7" s="8">
        <v>0.39106710396841998</v>
      </c>
      <c r="M7" s="8">
        <v>0.21083861334450299</v>
      </c>
      <c r="N7" s="2" t="s">
        <v>102</v>
      </c>
      <c r="O7" s="8">
        <v>3.4403471535491499</v>
      </c>
      <c r="P7" s="11">
        <v>6.36223231443796E-2</v>
      </c>
      <c r="Q7" s="1">
        <v>1</v>
      </c>
      <c r="R7" s="1">
        <v>-2.2168984737173401E-2</v>
      </c>
      <c r="S7" s="1">
        <v>0.80430319267401296</v>
      </c>
      <c r="T7" s="1">
        <f t="shared" si="0"/>
        <v>-0.02</v>
      </c>
      <c r="U7" s="1">
        <f t="shared" si="1"/>
        <v>0.8</v>
      </c>
      <c r="V7" s="1" t="str">
        <f t="shared" si="2"/>
        <v>-0.02 - 0.8</v>
      </c>
      <c r="W7" s="1" t="s">
        <v>102</v>
      </c>
    </row>
    <row r="8" spans="2:23" x14ac:dyDescent="0.55000000000000004">
      <c r="B8" s="69"/>
      <c r="C8" s="56" t="s">
        <v>469</v>
      </c>
      <c r="D8" s="61">
        <v>-0.51363930226187604</v>
      </c>
      <c r="E8" s="61">
        <v>0.25511671900214899</v>
      </c>
      <c r="F8" s="60" t="s">
        <v>103</v>
      </c>
      <c r="G8" s="61">
        <v>4.0535791073200196</v>
      </c>
      <c r="H8" s="26">
        <v>4.4077798628574E-2</v>
      </c>
      <c r="J8" s="7" t="s">
        <v>80</v>
      </c>
      <c r="K8" s="7" t="s">
        <v>98</v>
      </c>
      <c r="L8" s="8">
        <v>-0.51363930226187604</v>
      </c>
      <c r="M8" s="8">
        <v>0.25511671900214899</v>
      </c>
      <c r="N8" s="2" t="s">
        <v>103</v>
      </c>
      <c r="O8" s="8">
        <v>4.0535791073200196</v>
      </c>
      <c r="P8" s="26">
        <v>4.4077798628574E-2</v>
      </c>
      <c r="Q8" s="1">
        <v>1</v>
      </c>
      <c r="R8" s="1">
        <v>-1.0136588833601099</v>
      </c>
      <c r="S8" s="1">
        <v>-1.3619721163638699E-2</v>
      </c>
      <c r="T8" s="1">
        <f t="shared" si="0"/>
        <v>-1.01</v>
      </c>
      <c r="U8" s="1">
        <f t="shared" si="1"/>
        <v>-0.01</v>
      </c>
      <c r="V8" s="1" t="str">
        <f t="shared" si="2"/>
        <v>-1.01 - -0.01</v>
      </c>
      <c r="W8" s="1" t="s">
        <v>103</v>
      </c>
    </row>
    <row r="9" spans="2:23" x14ac:dyDescent="0.55000000000000004">
      <c r="B9" s="74" t="s">
        <v>511</v>
      </c>
      <c r="C9" s="7" t="s">
        <v>473</v>
      </c>
      <c r="D9" s="8">
        <v>0.75882374393215402</v>
      </c>
      <c r="E9" s="8">
        <v>2.9147569227796599E-2</v>
      </c>
      <c r="F9" s="2" t="s">
        <v>499</v>
      </c>
      <c r="G9" s="8">
        <v>677.76187956743195</v>
      </c>
      <c r="H9" s="28">
        <v>0</v>
      </c>
      <c r="J9" s="7" t="s">
        <v>126</v>
      </c>
      <c r="K9" s="7" t="s">
        <v>38</v>
      </c>
      <c r="L9" s="8">
        <v>0.90599759250796896</v>
      </c>
      <c r="M9" s="8">
        <v>2.17261354066344E-2</v>
      </c>
      <c r="N9" s="2" t="s">
        <v>104</v>
      </c>
      <c r="O9" s="25">
        <v>1738.9581223396001</v>
      </c>
      <c r="P9" s="11">
        <v>0</v>
      </c>
      <c r="Q9" s="1">
        <v>1</v>
      </c>
      <c r="R9" s="1">
        <v>0.86341514958772503</v>
      </c>
      <c r="S9" s="1">
        <v>0.94858003542821301</v>
      </c>
      <c r="T9" s="1">
        <f t="shared" si="0"/>
        <v>0.86</v>
      </c>
      <c r="U9" s="1">
        <f t="shared" si="1"/>
        <v>0.95</v>
      </c>
      <c r="V9" s="1" t="str">
        <f t="shared" si="2"/>
        <v>0.86 - 0.95</v>
      </c>
      <c r="W9" s="1" t="s">
        <v>104</v>
      </c>
    </row>
    <row r="10" spans="2:23" x14ac:dyDescent="0.55000000000000004">
      <c r="B10" s="74"/>
      <c r="C10" s="7" t="s">
        <v>9</v>
      </c>
      <c r="D10" s="8">
        <v>4.7191011076394798E-2</v>
      </c>
      <c r="E10" s="8">
        <v>3.87456256679269E-2</v>
      </c>
      <c r="F10" s="2" t="s">
        <v>496</v>
      </c>
      <c r="G10" s="8">
        <v>1.48345100776315</v>
      </c>
      <c r="H10" s="28">
        <v>0.22323535975168499</v>
      </c>
      <c r="J10" s="7" t="s">
        <v>126</v>
      </c>
      <c r="K10" s="7" t="s">
        <v>94</v>
      </c>
      <c r="L10" s="8">
        <v>7.7709843652322298E-3</v>
      </c>
      <c r="M10" s="8">
        <v>2.9842812924167898E-2</v>
      </c>
      <c r="N10" s="2" t="s">
        <v>105</v>
      </c>
      <c r="O10" s="8">
        <v>6.7806691989120996E-2</v>
      </c>
      <c r="P10" s="11">
        <v>0.79455741703820104</v>
      </c>
      <c r="Q10" s="1">
        <v>1</v>
      </c>
      <c r="R10" s="1">
        <v>-5.0719854163503303E-2</v>
      </c>
      <c r="S10" s="1">
        <v>6.6261822893967801E-2</v>
      </c>
      <c r="T10" s="1">
        <f t="shared" si="0"/>
        <v>-0.05</v>
      </c>
      <c r="U10" s="1">
        <f t="shared" si="1"/>
        <v>7.0000000000000007E-2</v>
      </c>
      <c r="V10" s="1" t="str">
        <f t="shared" si="2"/>
        <v>-0.05 - 0.07</v>
      </c>
      <c r="W10" s="1" t="s">
        <v>105</v>
      </c>
    </row>
    <row r="11" spans="2:23" x14ac:dyDescent="0.55000000000000004">
      <c r="B11" s="74"/>
      <c r="C11" s="7" t="s">
        <v>0</v>
      </c>
      <c r="D11" s="8">
        <v>2.2988579896997301E-2</v>
      </c>
      <c r="E11" s="8">
        <v>4.7224459538560602E-2</v>
      </c>
      <c r="F11" s="2" t="s">
        <v>497</v>
      </c>
      <c r="G11" s="8">
        <v>0.236968322988686</v>
      </c>
      <c r="H11" s="28">
        <v>0.62640437767215795</v>
      </c>
      <c r="J11" s="7" t="s">
        <v>126</v>
      </c>
      <c r="K11" s="7" t="s">
        <v>0</v>
      </c>
      <c r="L11" s="8">
        <v>4.0055569937918201E-2</v>
      </c>
      <c r="M11" s="8">
        <v>3.5200362487224003E-2</v>
      </c>
      <c r="N11" s="2" t="s">
        <v>106</v>
      </c>
      <c r="O11" s="8">
        <v>1.29488607192134</v>
      </c>
      <c r="P11" s="11">
        <v>0.255149458594009</v>
      </c>
      <c r="Q11" s="1">
        <v>1</v>
      </c>
      <c r="R11" s="1">
        <v>-2.89358727797955E-2</v>
      </c>
      <c r="S11" s="1">
        <v>0.10904701265563201</v>
      </c>
      <c r="T11" s="1">
        <f t="shared" si="0"/>
        <v>-0.03</v>
      </c>
      <c r="U11" s="1">
        <f t="shared" si="1"/>
        <v>0.11</v>
      </c>
      <c r="V11" s="1" t="str">
        <f t="shared" si="2"/>
        <v>-0.03 - 0.11</v>
      </c>
      <c r="W11" s="1" t="s">
        <v>106</v>
      </c>
    </row>
    <row r="12" spans="2:23" x14ac:dyDescent="0.55000000000000004">
      <c r="B12" s="74"/>
      <c r="C12" s="7" t="s">
        <v>469</v>
      </c>
      <c r="D12" s="8">
        <v>-0.113172531776508</v>
      </c>
      <c r="E12" s="8">
        <v>6.2775088287852596E-2</v>
      </c>
      <c r="F12" s="2" t="s">
        <v>498</v>
      </c>
      <c r="G12" s="8">
        <v>3.2501798895039902</v>
      </c>
      <c r="H12" s="28">
        <v>7.1415619461353996E-2</v>
      </c>
      <c r="J12" s="7" t="s">
        <v>126</v>
      </c>
      <c r="K12" s="7" t="s">
        <v>98</v>
      </c>
      <c r="L12" s="8">
        <v>-9.2679921187448902E-2</v>
      </c>
      <c r="M12" s="8">
        <v>4.83508830681567E-2</v>
      </c>
      <c r="N12" s="2" t="s">
        <v>107</v>
      </c>
      <c r="O12" s="8">
        <v>3.6741974459501798</v>
      </c>
      <c r="P12" s="11">
        <v>5.5260851806605303E-2</v>
      </c>
      <c r="Q12" s="1">
        <v>1</v>
      </c>
      <c r="R12" s="1">
        <v>-0.18744591062174301</v>
      </c>
      <c r="S12" s="1">
        <v>2.0860682468458701E-3</v>
      </c>
      <c r="T12" s="1">
        <f t="shared" si="0"/>
        <v>-0.19</v>
      </c>
      <c r="U12" s="1">
        <f t="shared" si="1"/>
        <v>0</v>
      </c>
      <c r="V12" s="1" t="str">
        <f t="shared" si="2"/>
        <v>-0.19 - 0</v>
      </c>
      <c r="W12" s="1" t="s">
        <v>107</v>
      </c>
    </row>
    <row r="13" spans="2:23" x14ac:dyDescent="0.55000000000000004">
      <c r="B13" s="68" t="s">
        <v>277</v>
      </c>
      <c r="C13" s="7" t="s">
        <v>473</v>
      </c>
      <c r="D13" s="8">
        <v>0.90599759250796896</v>
      </c>
      <c r="E13" s="8">
        <v>2.17261354066344E-2</v>
      </c>
      <c r="F13" s="2" t="s">
        <v>104</v>
      </c>
      <c r="G13" s="25">
        <v>1738.9581223396001</v>
      </c>
      <c r="H13" s="11">
        <v>0</v>
      </c>
      <c r="J13" s="7" t="s">
        <v>31</v>
      </c>
      <c r="K13" s="7" t="s">
        <v>38</v>
      </c>
      <c r="L13" s="8">
        <v>14.587648602710701</v>
      </c>
      <c r="M13" s="8">
        <v>2.0213435186748199</v>
      </c>
      <c r="N13" s="2" t="s">
        <v>108</v>
      </c>
      <c r="O13" s="25">
        <v>52.082321467608303</v>
      </c>
      <c r="P13" s="11">
        <v>5.3221935176102103E-13</v>
      </c>
      <c r="Q13" s="1">
        <v>1</v>
      </c>
      <c r="R13" s="1">
        <v>10.6258881057246</v>
      </c>
      <c r="S13" s="1">
        <v>18.549409099696899</v>
      </c>
      <c r="T13" s="1">
        <f t="shared" si="0"/>
        <v>10.63</v>
      </c>
      <c r="U13" s="1">
        <f t="shared" si="1"/>
        <v>18.55</v>
      </c>
      <c r="V13" s="1" t="str">
        <f t="shared" si="2"/>
        <v>10.63 - 18.55</v>
      </c>
      <c r="W13" s="1" t="s">
        <v>108</v>
      </c>
    </row>
    <row r="14" spans="2:23" x14ac:dyDescent="0.55000000000000004">
      <c r="B14" s="68"/>
      <c r="C14" s="7" t="s">
        <v>9</v>
      </c>
      <c r="D14" s="8">
        <v>7.7709843652322298E-3</v>
      </c>
      <c r="E14" s="8">
        <v>2.9842812924167898E-2</v>
      </c>
      <c r="F14" s="2" t="s">
        <v>105</v>
      </c>
      <c r="G14" s="8">
        <v>6.7806691989120996E-2</v>
      </c>
      <c r="H14" s="11">
        <v>0.79455741703820104</v>
      </c>
      <c r="J14" s="7" t="s">
        <v>31</v>
      </c>
      <c r="K14" s="7" t="s">
        <v>94</v>
      </c>
      <c r="L14" s="8">
        <v>0.66174257591353502</v>
      </c>
      <c r="M14" s="8">
        <v>2.4640979498953799</v>
      </c>
      <c r="N14" s="2" t="s">
        <v>109</v>
      </c>
      <c r="O14" s="8">
        <v>7.2121079823776996E-2</v>
      </c>
      <c r="P14" s="11">
        <v>0.78827315998027103</v>
      </c>
      <c r="Q14" s="1">
        <v>1</v>
      </c>
      <c r="R14" s="1">
        <v>-4.1678006602603999</v>
      </c>
      <c r="S14" s="1">
        <v>5.4912858120874697</v>
      </c>
      <c r="T14" s="1">
        <f t="shared" si="0"/>
        <v>-4.17</v>
      </c>
      <c r="U14" s="1">
        <f t="shared" si="1"/>
        <v>5.49</v>
      </c>
      <c r="V14" s="1" t="str">
        <f t="shared" si="2"/>
        <v>-4.17 - 5.49</v>
      </c>
      <c r="W14" s="1" t="s">
        <v>109</v>
      </c>
    </row>
    <row r="15" spans="2:23" x14ac:dyDescent="0.55000000000000004">
      <c r="B15" s="68"/>
      <c r="C15" s="7" t="s">
        <v>0</v>
      </c>
      <c r="D15" s="8">
        <v>4.0055569937918201E-2</v>
      </c>
      <c r="E15" s="8">
        <v>3.5200362487224003E-2</v>
      </c>
      <c r="F15" s="2" t="s">
        <v>106</v>
      </c>
      <c r="G15" s="8">
        <v>1.29488607192134</v>
      </c>
      <c r="H15" s="11">
        <v>0.255149458594009</v>
      </c>
      <c r="J15" s="7" t="s">
        <v>31</v>
      </c>
      <c r="K15" s="7" t="s">
        <v>0</v>
      </c>
      <c r="L15" s="8">
        <v>5.2320540394218797</v>
      </c>
      <c r="M15" s="8">
        <v>3.27495080173472</v>
      </c>
      <c r="N15" s="2" t="s">
        <v>110</v>
      </c>
      <c r="O15" s="8">
        <v>2.5523185778392801</v>
      </c>
      <c r="P15" s="11">
        <v>0.110132527022472</v>
      </c>
      <c r="Q15" s="1">
        <v>1</v>
      </c>
      <c r="R15" s="1">
        <v>-1.1867315831187299</v>
      </c>
      <c r="S15" s="1">
        <v>11.6508396619625</v>
      </c>
      <c r="T15" s="1">
        <f t="shared" si="0"/>
        <v>-1.19</v>
      </c>
      <c r="U15" s="1">
        <f t="shared" si="1"/>
        <v>11.65</v>
      </c>
      <c r="V15" s="1" t="str">
        <f t="shared" si="2"/>
        <v>-1.19 - 11.65</v>
      </c>
      <c r="W15" s="1" t="s">
        <v>110</v>
      </c>
    </row>
    <row r="16" spans="2:23" x14ac:dyDescent="0.55000000000000004">
      <c r="B16" s="68"/>
      <c r="C16" s="7" t="s">
        <v>469</v>
      </c>
      <c r="D16" s="8">
        <v>-9.2679921187448902E-2</v>
      </c>
      <c r="E16" s="8">
        <v>4.83508830681567E-2</v>
      </c>
      <c r="F16" s="2" t="s">
        <v>107</v>
      </c>
      <c r="G16" s="8">
        <v>3.6741974459501798</v>
      </c>
      <c r="H16" s="11">
        <v>5.5260851806605303E-2</v>
      </c>
      <c r="J16" s="7" t="s">
        <v>31</v>
      </c>
      <c r="K16" s="7" t="s">
        <v>98</v>
      </c>
      <c r="L16" s="8">
        <v>-6.0018110614135303</v>
      </c>
      <c r="M16" s="8">
        <v>3.9922949671876</v>
      </c>
      <c r="N16" s="2" t="s">
        <v>111</v>
      </c>
      <c r="O16" s="8">
        <v>2.26005702193729</v>
      </c>
      <c r="P16" s="11">
        <v>0.132749172957422</v>
      </c>
      <c r="Q16" s="1">
        <v>1</v>
      </c>
      <c r="R16" s="1">
        <v>-13.826565412761701</v>
      </c>
      <c r="S16" s="1">
        <v>1.82294328993468</v>
      </c>
      <c r="T16" s="1">
        <f t="shared" si="0"/>
        <v>-13.83</v>
      </c>
      <c r="U16" s="1">
        <f t="shared" si="1"/>
        <v>1.82</v>
      </c>
      <c r="V16" s="1" t="str">
        <f t="shared" si="2"/>
        <v>-13.83 - 1.82</v>
      </c>
      <c r="W16" s="1" t="s">
        <v>111</v>
      </c>
    </row>
    <row r="17" spans="2:23" x14ac:dyDescent="0.55000000000000004">
      <c r="B17" s="68" t="s">
        <v>31</v>
      </c>
      <c r="C17" s="7" t="s">
        <v>473</v>
      </c>
      <c r="D17" s="8">
        <v>14.587648602710701</v>
      </c>
      <c r="E17" s="8">
        <v>2.0213435186748199</v>
      </c>
      <c r="F17" s="2" t="s">
        <v>108</v>
      </c>
      <c r="G17" s="25">
        <v>52.082321467608303</v>
      </c>
      <c r="H17" s="11">
        <v>5.3221935176102103E-13</v>
      </c>
      <c r="J17" s="7" t="s">
        <v>127</v>
      </c>
      <c r="K17" s="7" t="s">
        <v>38</v>
      </c>
      <c r="L17" s="8">
        <v>0.908042223979038</v>
      </c>
      <c r="M17" s="8">
        <v>2.18941549015239E-2</v>
      </c>
      <c r="N17" s="2" t="s">
        <v>112</v>
      </c>
      <c r="O17" s="25">
        <v>1720.1079955553701</v>
      </c>
      <c r="P17" s="11">
        <v>0</v>
      </c>
      <c r="Q17" s="1">
        <v>1</v>
      </c>
      <c r="R17" s="1">
        <v>0.86513046890011003</v>
      </c>
      <c r="S17" s="1">
        <v>0.95095397905796597</v>
      </c>
      <c r="T17" s="1">
        <f t="shared" si="0"/>
        <v>0.87</v>
      </c>
      <c r="U17" s="1">
        <f t="shared" si="1"/>
        <v>0.95</v>
      </c>
      <c r="V17" s="1" t="str">
        <f t="shared" si="2"/>
        <v>0.87 - 0.95</v>
      </c>
      <c r="W17" s="1" t="s">
        <v>112</v>
      </c>
    </row>
    <row r="18" spans="2:23" x14ac:dyDescent="0.55000000000000004">
      <c r="B18" s="68"/>
      <c r="C18" s="7" t="s">
        <v>9</v>
      </c>
      <c r="D18" s="8">
        <v>0.66174257591353502</v>
      </c>
      <c r="E18" s="8">
        <v>2.4640979498953799</v>
      </c>
      <c r="F18" s="2" t="s">
        <v>109</v>
      </c>
      <c r="G18" s="8">
        <v>7.2121079823776996E-2</v>
      </c>
      <c r="H18" s="11">
        <v>0.78827315998027103</v>
      </c>
      <c r="J18" s="7" t="s">
        <v>127</v>
      </c>
      <c r="K18" s="7" t="s">
        <v>94</v>
      </c>
      <c r="L18" s="8">
        <v>1.0174494791242E-2</v>
      </c>
      <c r="M18" s="8">
        <v>3.0109659825284799E-2</v>
      </c>
      <c r="N18" s="2" t="s">
        <v>105</v>
      </c>
      <c r="O18" s="8">
        <v>0.114186302374405</v>
      </c>
      <c r="P18" s="11">
        <v>0.735427516458244</v>
      </c>
      <c r="Q18" s="1">
        <v>1</v>
      </c>
      <c r="R18" s="1">
        <v>-4.8839354053068898E-2</v>
      </c>
      <c r="S18" s="1">
        <v>6.9188343635552901E-2</v>
      </c>
      <c r="T18" s="1">
        <f t="shared" si="0"/>
        <v>-0.05</v>
      </c>
      <c r="U18" s="1">
        <f t="shared" si="1"/>
        <v>7.0000000000000007E-2</v>
      </c>
      <c r="V18" s="1" t="str">
        <f t="shared" si="2"/>
        <v>-0.05 - 0.07</v>
      </c>
      <c r="W18" s="1" t="s">
        <v>105</v>
      </c>
    </row>
    <row r="19" spans="2:23" x14ac:dyDescent="0.55000000000000004">
      <c r="B19" s="68"/>
      <c r="C19" s="7" t="s">
        <v>0</v>
      </c>
      <c r="D19" s="8">
        <v>5.2320540394218797</v>
      </c>
      <c r="E19" s="8">
        <v>3.27495080173472</v>
      </c>
      <c r="F19" s="2" t="s">
        <v>110</v>
      </c>
      <c r="G19" s="8">
        <v>2.5523185778392801</v>
      </c>
      <c r="H19" s="11">
        <v>0.110132527022472</v>
      </c>
      <c r="J19" s="7" t="s">
        <v>127</v>
      </c>
      <c r="K19" s="7" t="s">
        <v>0</v>
      </c>
      <c r="L19" s="8">
        <v>3.9243498999077302E-2</v>
      </c>
      <c r="M19" s="8">
        <v>3.5472585181887999E-2</v>
      </c>
      <c r="N19" s="2" t="s">
        <v>106</v>
      </c>
      <c r="O19" s="8">
        <v>1.2239107935332501</v>
      </c>
      <c r="P19" s="11">
        <v>0.26859452045158</v>
      </c>
      <c r="Q19" s="1">
        <v>1</v>
      </c>
      <c r="R19" s="1">
        <v>-3.02814903959523E-2</v>
      </c>
      <c r="S19" s="1">
        <v>0.10876848839410699</v>
      </c>
      <c r="T19" s="1">
        <f t="shared" si="0"/>
        <v>-0.03</v>
      </c>
      <c r="U19" s="1">
        <f t="shared" si="1"/>
        <v>0.11</v>
      </c>
      <c r="V19" s="1" t="str">
        <f t="shared" si="2"/>
        <v>-0.03 - 0.11</v>
      </c>
      <c r="W19" s="1" t="s">
        <v>106</v>
      </c>
    </row>
    <row r="20" spans="2:23" x14ac:dyDescent="0.55000000000000004">
      <c r="B20" s="68"/>
      <c r="C20" s="7" t="s">
        <v>469</v>
      </c>
      <c r="D20" s="8">
        <v>-6.0018110614135303</v>
      </c>
      <c r="E20" s="8">
        <v>3.9922949671876</v>
      </c>
      <c r="F20" s="2" t="s">
        <v>111</v>
      </c>
      <c r="G20" s="8">
        <v>2.26005702193729</v>
      </c>
      <c r="H20" s="11">
        <v>0.132749172957422</v>
      </c>
      <c r="J20" s="7" t="s">
        <v>127</v>
      </c>
      <c r="K20" s="7" t="s">
        <v>98</v>
      </c>
      <c r="L20" s="8">
        <v>-9.4358963816566804E-2</v>
      </c>
      <c r="M20" s="8">
        <v>4.8783224461234898E-2</v>
      </c>
      <c r="N20" s="2" t="s">
        <v>107</v>
      </c>
      <c r="O20" s="8">
        <v>3.7413240063598399</v>
      </c>
      <c r="P20" s="11">
        <v>5.3082367543856902E-2</v>
      </c>
      <c r="Q20" s="1">
        <v>1</v>
      </c>
      <c r="R20" s="1">
        <v>-0.18997232681032</v>
      </c>
      <c r="S20" s="1">
        <v>1.2543991771870799E-3</v>
      </c>
      <c r="T20" s="1">
        <f t="shared" si="0"/>
        <v>-0.19</v>
      </c>
      <c r="U20" s="1">
        <f t="shared" si="1"/>
        <v>0</v>
      </c>
      <c r="V20" s="1" t="str">
        <f t="shared" si="2"/>
        <v>-0.19 - 0</v>
      </c>
      <c r="W20" s="1" t="s">
        <v>107</v>
      </c>
    </row>
    <row r="21" spans="2:23" x14ac:dyDescent="0.55000000000000004">
      <c r="B21" s="68" t="s">
        <v>127</v>
      </c>
      <c r="C21" s="7" t="s">
        <v>473</v>
      </c>
      <c r="D21" s="8">
        <v>0.908042223979038</v>
      </c>
      <c r="E21" s="8">
        <v>2.18941549015239E-2</v>
      </c>
      <c r="F21" s="2" t="s">
        <v>112</v>
      </c>
      <c r="G21" s="25">
        <v>1720.1079955553701</v>
      </c>
      <c r="H21" s="11">
        <v>0</v>
      </c>
      <c r="J21" s="7" t="s">
        <v>128</v>
      </c>
      <c r="K21" s="7" t="s">
        <v>38</v>
      </c>
      <c r="L21" s="8">
        <v>22.810603027671</v>
      </c>
      <c r="M21" s="8">
        <v>2.00655255964335</v>
      </c>
      <c r="N21" s="2" t="s">
        <v>113</v>
      </c>
      <c r="O21" s="25">
        <v>129.23271039363399</v>
      </c>
      <c r="P21" s="11">
        <v>6.0315568743278401E-30</v>
      </c>
      <c r="Q21" s="1">
        <v>1</v>
      </c>
      <c r="R21" s="1">
        <v>18.8778322776834</v>
      </c>
      <c r="S21" s="1">
        <v>26.743373777658601</v>
      </c>
      <c r="T21" s="1">
        <f t="shared" si="0"/>
        <v>18.88</v>
      </c>
      <c r="U21" s="1">
        <f t="shared" si="1"/>
        <v>26.74</v>
      </c>
      <c r="V21" s="1" t="str">
        <f t="shared" si="2"/>
        <v>18.88 - 26.74</v>
      </c>
      <c r="W21" s="1" t="s">
        <v>113</v>
      </c>
    </row>
    <row r="22" spans="2:23" x14ac:dyDescent="0.55000000000000004">
      <c r="B22" s="68"/>
      <c r="C22" s="7" t="s">
        <v>9</v>
      </c>
      <c r="D22" s="8">
        <v>1.0174494791242E-2</v>
      </c>
      <c r="E22" s="8">
        <v>3.0109659825284799E-2</v>
      </c>
      <c r="F22" s="2" t="s">
        <v>105</v>
      </c>
      <c r="G22" s="8">
        <v>0.114186302374405</v>
      </c>
      <c r="H22" s="11">
        <v>0.735427516458244</v>
      </c>
      <c r="J22" s="7" t="s">
        <v>128</v>
      </c>
      <c r="K22" s="7" t="s">
        <v>94</v>
      </c>
      <c r="L22" s="8">
        <v>3.4731119705589699</v>
      </c>
      <c r="M22" s="8">
        <v>2.24097809911019</v>
      </c>
      <c r="N22" s="2" t="s">
        <v>114</v>
      </c>
      <c r="O22" s="8">
        <v>2.4019410544977</v>
      </c>
      <c r="P22" s="11">
        <v>0.12118480101574</v>
      </c>
      <c r="Q22" s="1">
        <v>1</v>
      </c>
      <c r="R22" s="1">
        <v>-0.91912439384004196</v>
      </c>
      <c r="S22" s="1">
        <v>7.8653483349579902</v>
      </c>
      <c r="T22" s="1">
        <f t="shared" si="0"/>
        <v>-0.92</v>
      </c>
      <c r="U22" s="1">
        <f t="shared" si="1"/>
        <v>7.87</v>
      </c>
      <c r="V22" s="1" t="str">
        <f t="shared" si="2"/>
        <v>-0.92 - 7.87</v>
      </c>
      <c r="W22" s="1" t="s">
        <v>114</v>
      </c>
    </row>
    <row r="23" spans="2:23" x14ac:dyDescent="0.55000000000000004">
      <c r="B23" s="68"/>
      <c r="C23" s="7" t="s">
        <v>0</v>
      </c>
      <c r="D23" s="8">
        <v>3.9243498999077302E-2</v>
      </c>
      <c r="E23" s="8">
        <v>3.5472585181887999E-2</v>
      </c>
      <c r="F23" s="2" t="s">
        <v>106</v>
      </c>
      <c r="G23" s="8">
        <v>1.2239107935332501</v>
      </c>
      <c r="H23" s="11">
        <v>0.26859452045158</v>
      </c>
      <c r="J23" s="7" t="s">
        <v>128</v>
      </c>
      <c r="K23" s="7" t="s">
        <v>0</v>
      </c>
      <c r="L23" s="8">
        <v>7.53575819283465</v>
      </c>
      <c r="M23" s="8">
        <v>3.2509867091937799</v>
      </c>
      <c r="N23" s="2" t="s">
        <v>115</v>
      </c>
      <c r="O23" s="8">
        <v>5.3730826465672497</v>
      </c>
      <c r="P23" s="26">
        <v>2.0449805849201402E-2</v>
      </c>
      <c r="Q23" s="1">
        <v>1</v>
      </c>
      <c r="R23" s="1">
        <v>1.16394132859643</v>
      </c>
      <c r="S23" s="1">
        <v>13.907575057072799</v>
      </c>
      <c r="T23" s="1">
        <f t="shared" si="0"/>
        <v>1.1599999999999999</v>
      </c>
      <c r="U23" s="1">
        <f t="shared" si="1"/>
        <v>13.91</v>
      </c>
      <c r="V23" s="1" t="str">
        <f t="shared" si="2"/>
        <v>1.16 - 13.91</v>
      </c>
      <c r="W23" s="1" t="s">
        <v>115</v>
      </c>
    </row>
    <row r="24" spans="2:23" x14ac:dyDescent="0.55000000000000004">
      <c r="B24" s="68"/>
      <c r="C24" s="7" t="s">
        <v>469</v>
      </c>
      <c r="D24" s="8">
        <v>-9.4358963816566804E-2</v>
      </c>
      <c r="E24" s="8">
        <v>4.8783224461234898E-2</v>
      </c>
      <c r="F24" s="2" t="s">
        <v>107</v>
      </c>
      <c r="G24" s="8">
        <v>3.7413240063598399</v>
      </c>
      <c r="H24" s="11">
        <v>5.3082367543856902E-2</v>
      </c>
      <c r="J24" s="9" t="s">
        <v>128</v>
      </c>
      <c r="K24" s="9" t="s">
        <v>98</v>
      </c>
      <c r="L24" s="10">
        <v>-6.1658969433614503</v>
      </c>
      <c r="M24" s="10">
        <v>3.6307994927860299</v>
      </c>
      <c r="N24" s="4" t="s">
        <v>116</v>
      </c>
      <c r="O24" s="10">
        <v>2.8839517565398398</v>
      </c>
      <c r="P24" s="12">
        <v>8.9466214470947394E-2</v>
      </c>
      <c r="Q24" s="3">
        <v>1</v>
      </c>
      <c r="R24" s="3">
        <v>-13.2821331843083</v>
      </c>
      <c r="S24" s="3">
        <v>0.95033929758546798</v>
      </c>
      <c r="T24" s="3">
        <f>ROUND(R24,2)</f>
        <v>-13.28</v>
      </c>
      <c r="U24" s="3">
        <f t="shared" si="1"/>
        <v>0.95</v>
      </c>
      <c r="V24" s="3" t="str">
        <f t="shared" si="2"/>
        <v>-13.28 - 0.95</v>
      </c>
      <c r="W24" s="3" t="s">
        <v>116</v>
      </c>
    </row>
    <row r="25" spans="2:23" x14ac:dyDescent="0.55000000000000004">
      <c r="B25" s="69" t="s">
        <v>128</v>
      </c>
      <c r="C25" s="7" t="s">
        <v>473</v>
      </c>
      <c r="D25" s="8">
        <v>22.810603027671</v>
      </c>
      <c r="E25" s="8">
        <v>2.00655255964335</v>
      </c>
      <c r="F25" s="2" t="s">
        <v>113</v>
      </c>
      <c r="G25" s="25">
        <v>129.23271039363399</v>
      </c>
      <c r="H25" s="11">
        <v>6.0315568743278401E-30</v>
      </c>
    </row>
    <row r="26" spans="2:23" x14ac:dyDescent="0.55000000000000004">
      <c r="B26" s="70"/>
      <c r="C26" s="7" t="s">
        <v>9</v>
      </c>
      <c r="D26" s="8">
        <v>3.4731119705589699</v>
      </c>
      <c r="E26" s="8">
        <v>2.24097809911019</v>
      </c>
      <c r="F26" s="2" t="s">
        <v>114</v>
      </c>
      <c r="G26" s="8">
        <v>2.4019410544977</v>
      </c>
      <c r="H26" s="11">
        <v>0.12118480101574</v>
      </c>
    </row>
    <row r="27" spans="2:23" x14ac:dyDescent="0.55000000000000004">
      <c r="B27" s="70"/>
      <c r="C27" s="56" t="s">
        <v>0</v>
      </c>
      <c r="D27" s="61">
        <v>7.53575819283465</v>
      </c>
      <c r="E27" s="61">
        <v>3.2509867091937799</v>
      </c>
      <c r="F27" s="60" t="s">
        <v>115</v>
      </c>
      <c r="G27" s="61">
        <v>5.3730826465672497</v>
      </c>
      <c r="H27" s="26">
        <v>2.0449805849201402E-2</v>
      </c>
    </row>
    <row r="28" spans="2:23" x14ac:dyDescent="0.55000000000000004">
      <c r="B28" s="71"/>
      <c r="C28" s="9" t="s">
        <v>469</v>
      </c>
      <c r="D28" s="10">
        <v>-6.1658969433614503</v>
      </c>
      <c r="E28" s="10">
        <v>3.6307994927860299</v>
      </c>
      <c r="F28" s="4" t="s">
        <v>116</v>
      </c>
      <c r="G28" s="10">
        <v>2.8839517565398398</v>
      </c>
      <c r="H28" s="12">
        <v>8.9466214470947394E-2</v>
      </c>
    </row>
    <row r="29" spans="2:23" x14ac:dyDescent="0.55000000000000004">
      <c r="J29" s="1" t="s">
        <v>87</v>
      </c>
    </row>
    <row r="30" spans="2:23" x14ac:dyDescent="0.55000000000000004">
      <c r="J30" s="1" t="s">
        <v>267</v>
      </c>
    </row>
    <row r="32" spans="2:23" x14ac:dyDescent="0.55000000000000004">
      <c r="B32" t="s">
        <v>477</v>
      </c>
      <c r="C32" t="s">
        <v>492</v>
      </c>
      <c r="D32" t="s">
        <v>493</v>
      </c>
      <c r="E32" t="s">
        <v>494</v>
      </c>
      <c r="F32" t="s">
        <v>78</v>
      </c>
      <c r="G32" t="s">
        <v>79</v>
      </c>
      <c r="H32" t="s">
        <v>495</v>
      </c>
      <c r="I32" t="s">
        <v>37</v>
      </c>
      <c r="J32" t="s">
        <v>480</v>
      </c>
    </row>
    <row r="33" spans="2:11" x14ac:dyDescent="0.55000000000000004">
      <c r="B33" t="s">
        <v>80</v>
      </c>
      <c r="C33" t="s">
        <v>38</v>
      </c>
      <c r="D33">
        <v>3.2025266639228702</v>
      </c>
      <c r="E33">
        <v>0.13013241736167599</v>
      </c>
      <c r="F33">
        <v>2.9474718126728501</v>
      </c>
      <c r="G33">
        <v>3.4575815151728899</v>
      </c>
      <c r="H33">
        <v>605.63994853022405</v>
      </c>
      <c r="I33">
        <v>1</v>
      </c>
      <c r="J33" s="55">
        <v>9.9328716509145392E-134</v>
      </c>
    </row>
    <row r="34" spans="2:11" x14ac:dyDescent="0.55000000000000004">
      <c r="B34" t="s">
        <v>80</v>
      </c>
      <c r="C34" t="s">
        <v>81</v>
      </c>
      <c r="D34">
        <v>6.9062396121551003E-2</v>
      </c>
      <c r="E34">
        <v>0.15746145749347701</v>
      </c>
      <c r="F34">
        <v>-0.239556389518848</v>
      </c>
      <c r="G34">
        <v>0.37768118176194998</v>
      </c>
      <c r="H34">
        <v>0.192368850642509</v>
      </c>
      <c r="I34">
        <v>1</v>
      </c>
      <c r="J34">
        <v>0.66095231354802897</v>
      </c>
    </row>
    <row r="35" spans="2:11" x14ac:dyDescent="0.55000000000000004">
      <c r="B35" t="s">
        <v>80</v>
      </c>
      <c r="C35" t="s">
        <v>82</v>
      </c>
      <c r="D35">
        <v>0.39106710396841998</v>
      </c>
      <c r="E35">
        <v>0.21083861334450299</v>
      </c>
      <c r="F35">
        <v>-2.2168984737173401E-2</v>
      </c>
      <c r="G35">
        <v>0.80430319267401296</v>
      </c>
      <c r="H35">
        <v>3.4403471535491499</v>
      </c>
      <c r="I35">
        <v>1</v>
      </c>
      <c r="J35">
        <v>6.36223231443796E-2</v>
      </c>
    </row>
    <row r="36" spans="2:11" x14ac:dyDescent="0.55000000000000004">
      <c r="B36" t="s">
        <v>80</v>
      </c>
      <c r="C36" t="s">
        <v>83</v>
      </c>
      <c r="D36">
        <v>-0.51363930226187604</v>
      </c>
      <c r="E36">
        <v>0.25511671900214899</v>
      </c>
      <c r="F36">
        <v>-1.0136588833601099</v>
      </c>
      <c r="G36">
        <v>-1.3619721163638699E-2</v>
      </c>
      <c r="H36">
        <v>4.0535791073200196</v>
      </c>
      <c r="I36">
        <v>1</v>
      </c>
      <c r="J36">
        <v>4.4077798628574E-2</v>
      </c>
    </row>
    <row r="37" spans="2:11" x14ac:dyDescent="0.55000000000000004">
      <c r="B37" t="s">
        <v>487</v>
      </c>
      <c r="C37" t="s">
        <v>38</v>
      </c>
      <c r="D37">
        <v>0.75882374393215402</v>
      </c>
      <c r="E37">
        <v>2.9147569227796599E-2</v>
      </c>
      <c r="F37">
        <v>0.70169555800878403</v>
      </c>
      <c r="G37">
        <v>0.81595192985552301</v>
      </c>
      <c r="H37">
        <v>677.76187956743195</v>
      </c>
      <c r="I37">
        <v>1</v>
      </c>
      <c r="J37" s="55">
        <v>2.0494668176280399E-149</v>
      </c>
      <c r="K37" s="1" t="str">
        <f>_xlfn.CONCAT(ROUND(F37,2)," - ",ROUND(G37,2))</f>
        <v>0.7 - 0.82</v>
      </c>
    </row>
    <row r="38" spans="2:11" x14ac:dyDescent="0.55000000000000004">
      <c r="B38" t="s">
        <v>487</v>
      </c>
      <c r="C38" t="s">
        <v>81</v>
      </c>
      <c r="D38">
        <v>4.7191011076394798E-2</v>
      </c>
      <c r="E38">
        <v>3.87456256679269E-2</v>
      </c>
      <c r="F38">
        <v>-2.87490197912126E-2</v>
      </c>
      <c r="G38">
        <v>0.123131041944002</v>
      </c>
      <c r="H38">
        <v>1.48345100776315</v>
      </c>
      <c r="I38">
        <v>1</v>
      </c>
      <c r="J38">
        <v>0.22323535975168499</v>
      </c>
      <c r="K38" s="1" t="str">
        <f>_xlfn.CONCAT(ROUND(F38,2)," - ",ROUND(G38,2))</f>
        <v>-0.03 - 0.12</v>
      </c>
    </row>
    <row r="39" spans="2:11" x14ac:dyDescent="0.55000000000000004">
      <c r="B39" t="s">
        <v>487</v>
      </c>
      <c r="C39" t="s">
        <v>82</v>
      </c>
      <c r="D39">
        <v>2.2988579896997301E-2</v>
      </c>
      <c r="E39">
        <v>4.7224459538560602E-2</v>
      </c>
      <c r="F39">
        <v>-6.9569659987950394E-2</v>
      </c>
      <c r="G39">
        <v>0.115546819781945</v>
      </c>
      <c r="H39">
        <v>0.236968322988686</v>
      </c>
      <c r="I39">
        <v>1</v>
      </c>
      <c r="J39">
        <v>0.62640437767215795</v>
      </c>
      <c r="K39" s="1" t="str">
        <f t="shared" ref="K39:K40" si="3">_xlfn.CONCAT(ROUND(F39,2)," - ",ROUND(G39,2))</f>
        <v>-0.07 - 0.12</v>
      </c>
    </row>
    <row r="40" spans="2:11" x14ac:dyDescent="0.55000000000000004">
      <c r="B40" t="s">
        <v>487</v>
      </c>
      <c r="C40" t="s">
        <v>83</v>
      </c>
      <c r="D40">
        <v>-0.113172531776508</v>
      </c>
      <c r="E40">
        <v>6.2775088287852596E-2</v>
      </c>
      <c r="F40">
        <v>-0.23620944394702101</v>
      </c>
      <c r="G40">
        <v>9.8643803940049093E-3</v>
      </c>
      <c r="H40">
        <v>3.2501798895039902</v>
      </c>
      <c r="I40">
        <v>1</v>
      </c>
      <c r="J40">
        <v>7.1415619461353996E-2</v>
      </c>
      <c r="K40" s="1" t="str">
        <f t="shared" si="3"/>
        <v>-0.24 - 0.01</v>
      </c>
    </row>
    <row r="41" spans="2:11" x14ac:dyDescent="0.55000000000000004">
      <c r="B41" t="s">
        <v>488</v>
      </c>
      <c r="C41" t="s">
        <v>38</v>
      </c>
      <c r="D41">
        <v>0.90599759250796896</v>
      </c>
      <c r="E41">
        <v>2.17261354066344E-2</v>
      </c>
      <c r="F41">
        <v>0.86341514958772503</v>
      </c>
      <c r="G41">
        <v>0.94858003542821301</v>
      </c>
      <c r="H41">
        <v>1738.9581223396001</v>
      </c>
      <c r="I41">
        <v>1</v>
      </c>
      <c r="J41">
        <v>0</v>
      </c>
    </row>
    <row r="42" spans="2:11" x14ac:dyDescent="0.55000000000000004">
      <c r="B42" t="s">
        <v>488</v>
      </c>
      <c r="C42" t="s">
        <v>81</v>
      </c>
      <c r="D42">
        <v>7.7709843652322298E-3</v>
      </c>
      <c r="E42">
        <v>2.9842812924167898E-2</v>
      </c>
      <c r="F42">
        <v>-5.0719854163503303E-2</v>
      </c>
      <c r="G42">
        <v>6.6261822893967801E-2</v>
      </c>
      <c r="H42">
        <v>6.7806691989120996E-2</v>
      </c>
      <c r="I42">
        <v>1</v>
      </c>
      <c r="J42">
        <v>0.79455741703820104</v>
      </c>
    </row>
    <row r="43" spans="2:11" x14ac:dyDescent="0.55000000000000004">
      <c r="B43" t="s">
        <v>488</v>
      </c>
      <c r="C43" t="s">
        <v>82</v>
      </c>
      <c r="D43">
        <v>4.0055569937918201E-2</v>
      </c>
      <c r="E43">
        <v>3.5200362487224003E-2</v>
      </c>
      <c r="F43">
        <v>-2.89358727797955E-2</v>
      </c>
      <c r="G43">
        <v>0.10904701265563201</v>
      </c>
      <c r="H43">
        <v>1.29488607192134</v>
      </c>
      <c r="I43">
        <v>1</v>
      </c>
      <c r="J43">
        <v>0.255149458594009</v>
      </c>
    </row>
    <row r="44" spans="2:11" x14ac:dyDescent="0.55000000000000004">
      <c r="B44" t="s">
        <v>488</v>
      </c>
      <c r="C44" t="s">
        <v>83</v>
      </c>
      <c r="D44">
        <v>-9.2679921187448902E-2</v>
      </c>
      <c r="E44">
        <v>4.83508830681567E-2</v>
      </c>
      <c r="F44">
        <v>-0.18744591062174301</v>
      </c>
      <c r="G44">
        <v>2.0860682468458701E-3</v>
      </c>
      <c r="H44">
        <v>3.6741974459501798</v>
      </c>
      <c r="I44">
        <v>1</v>
      </c>
      <c r="J44">
        <v>5.5260851806605303E-2</v>
      </c>
    </row>
    <row r="45" spans="2:11" x14ac:dyDescent="0.55000000000000004">
      <c r="B45" t="s">
        <v>489</v>
      </c>
      <c r="C45" t="s">
        <v>38</v>
      </c>
      <c r="D45">
        <v>14.587648602710701</v>
      </c>
      <c r="E45">
        <v>2.0213435186748199</v>
      </c>
      <c r="F45">
        <v>10.6258881057246</v>
      </c>
      <c r="G45">
        <v>18.549409099696899</v>
      </c>
      <c r="H45">
        <v>52.082321467608303</v>
      </c>
      <c r="I45">
        <v>1</v>
      </c>
      <c r="J45" s="55">
        <v>5.3221935176102103E-13</v>
      </c>
    </row>
    <row r="46" spans="2:11" x14ac:dyDescent="0.55000000000000004">
      <c r="B46" t="s">
        <v>489</v>
      </c>
      <c r="C46" t="s">
        <v>81</v>
      </c>
      <c r="D46">
        <v>0.66174257591353502</v>
      </c>
      <c r="E46">
        <v>2.4640979498953799</v>
      </c>
      <c r="F46">
        <v>-4.1678006602603999</v>
      </c>
      <c r="G46">
        <v>5.4912858120874697</v>
      </c>
      <c r="H46">
        <v>7.2121079823776996E-2</v>
      </c>
      <c r="I46">
        <v>1</v>
      </c>
      <c r="J46">
        <v>0.78827315998027103</v>
      </c>
    </row>
    <row r="47" spans="2:11" x14ac:dyDescent="0.55000000000000004">
      <c r="B47" t="s">
        <v>489</v>
      </c>
      <c r="C47" t="s">
        <v>82</v>
      </c>
      <c r="D47">
        <v>5.2320540394218797</v>
      </c>
      <c r="E47">
        <v>3.27495080173472</v>
      </c>
      <c r="F47">
        <v>-1.1867315831187299</v>
      </c>
      <c r="G47">
        <v>11.6508396619625</v>
      </c>
      <c r="H47">
        <v>2.5523185778392801</v>
      </c>
      <c r="I47">
        <v>1</v>
      </c>
      <c r="J47">
        <v>0.110132527022472</v>
      </c>
    </row>
    <row r="48" spans="2:11" x14ac:dyDescent="0.55000000000000004">
      <c r="B48" t="s">
        <v>489</v>
      </c>
      <c r="C48" t="s">
        <v>83</v>
      </c>
      <c r="D48">
        <v>-6.0018110614135303</v>
      </c>
      <c r="E48">
        <v>3.9922949671876</v>
      </c>
      <c r="F48">
        <v>-13.826565412761701</v>
      </c>
      <c r="G48">
        <v>1.82294328993468</v>
      </c>
      <c r="H48">
        <v>2.26005702193729</v>
      </c>
      <c r="I48">
        <v>1</v>
      </c>
      <c r="J48">
        <v>0.132749172957422</v>
      </c>
    </row>
    <row r="49" spans="2:10" x14ac:dyDescent="0.55000000000000004">
      <c r="B49" t="s">
        <v>490</v>
      </c>
      <c r="C49" t="s">
        <v>38</v>
      </c>
      <c r="D49">
        <v>0.908042223979038</v>
      </c>
      <c r="E49">
        <v>2.18941549015239E-2</v>
      </c>
      <c r="F49">
        <v>0.86513046890011003</v>
      </c>
      <c r="G49">
        <v>0.95095397905796597</v>
      </c>
      <c r="H49">
        <v>1720.1079955553701</v>
      </c>
      <c r="I49">
        <v>1</v>
      </c>
      <c r="J49">
        <v>0</v>
      </c>
    </row>
    <row r="50" spans="2:10" x14ac:dyDescent="0.55000000000000004">
      <c r="B50" t="s">
        <v>490</v>
      </c>
      <c r="C50" t="s">
        <v>81</v>
      </c>
      <c r="D50">
        <v>1.0174494791242E-2</v>
      </c>
      <c r="E50">
        <v>3.0109659825284799E-2</v>
      </c>
      <c r="F50">
        <v>-4.8839354053068898E-2</v>
      </c>
      <c r="G50">
        <v>6.9188343635552901E-2</v>
      </c>
      <c r="H50">
        <v>0.114186302374405</v>
      </c>
      <c r="I50">
        <v>1</v>
      </c>
      <c r="J50">
        <v>0.735427516458244</v>
      </c>
    </row>
    <row r="51" spans="2:10" x14ac:dyDescent="0.55000000000000004">
      <c r="B51" t="s">
        <v>490</v>
      </c>
      <c r="C51" t="s">
        <v>82</v>
      </c>
      <c r="D51">
        <v>3.9243498999077302E-2</v>
      </c>
      <c r="E51">
        <v>3.5472585181887999E-2</v>
      </c>
      <c r="F51">
        <v>-3.02814903959523E-2</v>
      </c>
      <c r="G51">
        <v>0.10876848839410699</v>
      </c>
      <c r="H51">
        <v>1.2239107935332501</v>
      </c>
      <c r="I51">
        <v>1</v>
      </c>
      <c r="J51">
        <v>0.26859452045158</v>
      </c>
    </row>
    <row r="52" spans="2:10" x14ac:dyDescent="0.55000000000000004">
      <c r="B52" t="s">
        <v>490</v>
      </c>
      <c r="C52" t="s">
        <v>83</v>
      </c>
      <c r="D52">
        <v>-9.4358963816566804E-2</v>
      </c>
      <c r="E52">
        <v>4.8783224461234898E-2</v>
      </c>
      <c r="F52">
        <v>-0.18997232681032</v>
      </c>
      <c r="G52">
        <v>1.2543991771870799E-3</v>
      </c>
      <c r="H52">
        <v>3.7413240063598399</v>
      </c>
      <c r="I52">
        <v>1</v>
      </c>
      <c r="J52">
        <v>5.3082367543856902E-2</v>
      </c>
    </row>
    <row r="53" spans="2:10" x14ac:dyDescent="0.55000000000000004">
      <c r="B53" t="s">
        <v>491</v>
      </c>
      <c r="C53" t="s">
        <v>38</v>
      </c>
      <c r="D53">
        <v>22.810603027671</v>
      </c>
      <c r="E53">
        <v>2.00655255964335</v>
      </c>
      <c r="F53">
        <v>18.8778322776834</v>
      </c>
      <c r="G53">
        <v>26.743373777658601</v>
      </c>
      <c r="H53">
        <v>129.23271039363399</v>
      </c>
      <c r="I53">
        <v>1</v>
      </c>
      <c r="J53" s="55">
        <v>6.0315568743278401E-30</v>
      </c>
    </row>
    <row r="54" spans="2:10" x14ac:dyDescent="0.55000000000000004">
      <c r="B54" t="s">
        <v>491</v>
      </c>
      <c r="C54" t="s">
        <v>81</v>
      </c>
      <c r="D54">
        <v>3.4731119705589699</v>
      </c>
      <c r="E54">
        <v>2.24097809911019</v>
      </c>
      <c r="F54">
        <v>-0.91912439384004196</v>
      </c>
      <c r="G54">
        <v>7.8653483349579902</v>
      </c>
      <c r="H54">
        <v>2.4019410544977</v>
      </c>
      <c r="I54">
        <v>1</v>
      </c>
      <c r="J54">
        <v>0.12118480101574</v>
      </c>
    </row>
    <row r="55" spans="2:10" x14ac:dyDescent="0.55000000000000004">
      <c r="B55" t="s">
        <v>491</v>
      </c>
      <c r="C55" t="s">
        <v>82</v>
      </c>
      <c r="D55">
        <v>7.53575819283465</v>
      </c>
      <c r="E55">
        <v>3.2509867091937799</v>
      </c>
      <c r="F55">
        <v>1.16394132859643</v>
      </c>
      <c r="G55">
        <v>13.907575057072799</v>
      </c>
      <c r="H55">
        <v>5.3730826465672497</v>
      </c>
      <c r="I55">
        <v>1</v>
      </c>
      <c r="J55">
        <v>2.0449805849201402E-2</v>
      </c>
    </row>
    <row r="56" spans="2:10" x14ac:dyDescent="0.55000000000000004">
      <c r="B56" t="s">
        <v>491</v>
      </c>
      <c r="C56" t="s">
        <v>83</v>
      </c>
      <c r="D56">
        <v>-6.1658969433614503</v>
      </c>
      <c r="E56">
        <v>3.6307994927860299</v>
      </c>
      <c r="F56">
        <v>-13.2821331843083</v>
      </c>
      <c r="G56">
        <v>0.95033929758546798</v>
      </c>
      <c r="H56">
        <v>2.8839517565398398</v>
      </c>
      <c r="I56">
        <v>1</v>
      </c>
      <c r="J56">
        <v>8.9466214470947394E-2</v>
      </c>
    </row>
  </sheetData>
  <mergeCells count="10">
    <mergeCell ref="O3:P3"/>
    <mergeCell ref="D3:F3"/>
    <mergeCell ref="G3:H3"/>
    <mergeCell ref="B5:B8"/>
    <mergeCell ref="B9:B12"/>
    <mergeCell ref="B13:B16"/>
    <mergeCell ref="B17:B20"/>
    <mergeCell ref="B21:B24"/>
    <mergeCell ref="B25:B28"/>
    <mergeCell ref="L3:N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5C3DA8-61F1-4FA6-88DF-6B9AEE1A4BF3}">
  <dimension ref="B1:R12"/>
  <sheetViews>
    <sheetView workbookViewId="0">
      <selection activeCell="B2" sqref="B2"/>
    </sheetView>
  </sheetViews>
  <sheetFormatPr defaultRowHeight="15.3" x14ac:dyDescent="0.55000000000000004"/>
  <cols>
    <col min="1" max="1" width="8.83984375" style="7"/>
    <col min="2" max="2" width="10.15625" style="7" customWidth="1"/>
    <col min="3" max="3" width="15.15625" style="7" customWidth="1"/>
    <col min="4" max="5" width="13.68359375" style="7" customWidth="1"/>
    <col min="6" max="6" width="14.734375" style="7" customWidth="1"/>
    <col min="7" max="11" width="8.83984375" style="7"/>
    <col min="12" max="12" width="20.68359375" style="7" customWidth="1"/>
    <col min="13" max="16384" width="8.83984375" style="7"/>
  </cols>
  <sheetData>
    <row r="1" spans="2:18" x14ac:dyDescent="0.55000000000000004">
      <c r="B1"/>
    </row>
    <row r="2" spans="2:18" x14ac:dyDescent="0.55000000000000004">
      <c r="B2" s="7" t="s">
        <v>544</v>
      </c>
    </row>
    <row r="3" spans="2:18" x14ac:dyDescent="0.55000000000000004">
      <c r="B3" s="45"/>
      <c r="C3" s="65"/>
      <c r="D3" s="78" t="s">
        <v>117</v>
      </c>
      <c r="E3" s="78"/>
      <c r="F3" s="78"/>
      <c r="G3" s="78" t="s">
        <v>118</v>
      </c>
      <c r="H3" s="78"/>
    </row>
    <row r="4" spans="2:18" x14ac:dyDescent="0.55000000000000004">
      <c r="B4" s="13" t="s">
        <v>28</v>
      </c>
      <c r="C4" s="13" t="s">
        <v>97</v>
      </c>
      <c r="D4" s="14" t="s">
        <v>119</v>
      </c>
      <c r="E4" s="14" t="s">
        <v>85</v>
      </c>
      <c r="F4" s="14" t="s">
        <v>121</v>
      </c>
      <c r="G4" s="15" t="s">
        <v>472</v>
      </c>
      <c r="H4" s="15" t="s">
        <v>30</v>
      </c>
      <c r="L4" s="7" t="s">
        <v>512</v>
      </c>
      <c r="M4" s="7" t="s">
        <v>478</v>
      </c>
      <c r="N4" s="7" t="s">
        <v>494</v>
      </c>
      <c r="O4" s="7" t="s">
        <v>78</v>
      </c>
      <c r="P4" s="7" t="s">
        <v>79</v>
      </c>
      <c r="Q4" s="7" t="s">
        <v>477</v>
      </c>
    </row>
    <row r="5" spans="2:18" x14ac:dyDescent="0.55000000000000004">
      <c r="B5" s="77" t="s">
        <v>470</v>
      </c>
      <c r="C5" s="7" t="s">
        <v>473</v>
      </c>
      <c r="D5" s="37">
        <v>97.175595805454094</v>
      </c>
      <c r="E5" s="37">
        <v>8.0554231887871204</v>
      </c>
      <c r="F5" s="2" t="s">
        <v>515</v>
      </c>
      <c r="G5" s="37">
        <v>145.53</v>
      </c>
      <c r="H5" s="2" t="s">
        <v>474</v>
      </c>
      <c r="L5" s="7" t="s">
        <v>38</v>
      </c>
      <c r="M5" s="7">
        <v>97.175595805454094</v>
      </c>
      <c r="N5" s="7">
        <v>8.0554231887871204</v>
      </c>
      <c r="O5" s="7">
        <v>81.387256475202506</v>
      </c>
      <c r="P5" s="7">
        <v>112.963935135705</v>
      </c>
      <c r="Q5" s="7" t="s">
        <v>513</v>
      </c>
      <c r="R5" s="7" t="str">
        <f>_xlfn.CONCAT(ROUND(O5,2)," - ",ROUND(P5,2))</f>
        <v>81.39 - 112.96</v>
      </c>
    </row>
    <row r="6" spans="2:18" x14ac:dyDescent="0.55000000000000004">
      <c r="B6" s="75"/>
      <c r="C6" s="7" t="s">
        <v>9</v>
      </c>
      <c r="D6" s="37">
        <v>6.18803713023767</v>
      </c>
      <c r="E6" s="37">
        <v>11.067397141681701</v>
      </c>
      <c r="F6" s="2" t="s">
        <v>516</v>
      </c>
      <c r="G6" s="2">
        <v>0.31</v>
      </c>
      <c r="H6" s="2">
        <v>0.57599999999999996</v>
      </c>
      <c r="L6" s="7" t="s">
        <v>88</v>
      </c>
      <c r="M6" s="7">
        <v>6.18803713023767</v>
      </c>
      <c r="N6" s="7">
        <v>11.067397141681701</v>
      </c>
      <c r="O6" s="7">
        <v>-15.503662670060001</v>
      </c>
      <c r="P6" s="7">
        <v>27.879736930535302</v>
      </c>
      <c r="Q6" s="7" t="s">
        <v>513</v>
      </c>
      <c r="R6" s="7" t="str">
        <f t="shared" ref="R6:R12" si="0">_xlfn.CONCAT(ROUND(O6,2)," - ",ROUND(P6,2))</f>
        <v>-15.5 - 27.88</v>
      </c>
    </row>
    <row r="7" spans="2:18" x14ac:dyDescent="0.55000000000000004">
      <c r="B7" s="75"/>
      <c r="C7" s="56" t="s">
        <v>0</v>
      </c>
      <c r="D7" s="62">
        <v>42.236853286024498</v>
      </c>
      <c r="E7" s="37">
        <v>13.051277225617699</v>
      </c>
      <c r="F7" s="60" t="s">
        <v>517</v>
      </c>
      <c r="G7" s="62">
        <v>10.47</v>
      </c>
      <c r="H7" s="60">
        <v>1E-3</v>
      </c>
      <c r="L7" s="7" t="s">
        <v>89</v>
      </c>
      <c r="M7" s="7">
        <v>42.236853286024498</v>
      </c>
      <c r="N7" s="7">
        <v>13.051277225617699</v>
      </c>
      <c r="O7" s="7">
        <v>16.656819971565799</v>
      </c>
      <c r="P7" s="7">
        <v>67.816886600483201</v>
      </c>
      <c r="Q7" s="7" t="s">
        <v>513</v>
      </c>
      <c r="R7" s="7" t="str">
        <f t="shared" si="0"/>
        <v>16.66 - 67.82</v>
      </c>
    </row>
    <row r="8" spans="2:18" x14ac:dyDescent="0.55000000000000004">
      <c r="B8" s="75"/>
      <c r="C8" s="7" t="s">
        <v>469</v>
      </c>
      <c r="D8" s="37">
        <v>-25.198903119940098</v>
      </c>
      <c r="E8" s="37">
        <v>17.931232770384799</v>
      </c>
      <c r="F8" s="2" t="s">
        <v>518</v>
      </c>
      <c r="G8" s="11">
        <v>1.97</v>
      </c>
      <c r="H8" s="11">
        <v>0.16</v>
      </c>
      <c r="L8" s="7" t="s">
        <v>90</v>
      </c>
      <c r="M8" s="7">
        <v>-25.198903119940098</v>
      </c>
      <c r="N8" s="7">
        <v>17.931232770384799</v>
      </c>
      <c r="O8" s="7">
        <v>-60.343473548298803</v>
      </c>
      <c r="P8" s="7">
        <v>9.9456673084185496</v>
      </c>
      <c r="Q8" s="7" t="s">
        <v>513</v>
      </c>
      <c r="R8" s="7" t="str">
        <f t="shared" si="0"/>
        <v>-60.34 - 9.95</v>
      </c>
    </row>
    <row r="9" spans="2:18" x14ac:dyDescent="0.55000000000000004">
      <c r="B9" s="75" t="s">
        <v>471</v>
      </c>
      <c r="C9" s="7" t="s">
        <v>473</v>
      </c>
      <c r="D9" s="37">
        <v>100.43189783270201</v>
      </c>
      <c r="E9" s="37">
        <v>7.8348672680408198</v>
      </c>
      <c r="F9" s="2" t="s">
        <v>519</v>
      </c>
      <c r="G9" s="37">
        <v>164.32</v>
      </c>
      <c r="H9" s="2" t="s">
        <v>474</v>
      </c>
      <c r="L9" s="7" t="s">
        <v>38</v>
      </c>
      <c r="M9" s="7">
        <v>100.43189783270201</v>
      </c>
      <c r="N9" s="7">
        <v>7.8348672680408198</v>
      </c>
      <c r="O9" s="7">
        <v>85.0758401636907</v>
      </c>
      <c r="P9" s="7">
        <v>115.78795550171399</v>
      </c>
      <c r="Q9" s="7" t="s">
        <v>514</v>
      </c>
      <c r="R9" s="7" t="str">
        <f t="shared" si="0"/>
        <v>85.08 - 115.79</v>
      </c>
    </row>
    <row r="10" spans="2:18" x14ac:dyDescent="0.55000000000000004">
      <c r="B10" s="75"/>
      <c r="C10" s="7" t="s">
        <v>9</v>
      </c>
      <c r="D10" s="37">
        <v>4.25247473760178</v>
      </c>
      <c r="E10" s="37">
        <v>9.9584901846346803</v>
      </c>
      <c r="F10" s="2" t="s">
        <v>520</v>
      </c>
      <c r="G10" s="2">
        <v>0.18</v>
      </c>
      <c r="H10" s="2">
        <v>0.66900000000000004</v>
      </c>
      <c r="L10" s="7" t="s">
        <v>88</v>
      </c>
      <c r="M10" s="7">
        <v>4.25247473760178</v>
      </c>
      <c r="N10" s="7">
        <v>9.9584901846346803</v>
      </c>
      <c r="O10" s="7">
        <v>-15.2658073646778</v>
      </c>
      <c r="P10" s="7">
        <v>23.7707568398814</v>
      </c>
      <c r="Q10" s="7" t="s">
        <v>514</v>
      </c>
      <c r="R10" s="7" t="str">
        <f t="shared" si="0"/>
        <v>-15.27 - 23.77</v>
      </c>
    </row>
    <row r="11" spans="2:18" x14ac:dyDescent="0.55000000000000004">
      <c r="B11" s="75"/>
      <c r="C11" s="56" t="s">
        <v>0</v>
      </c>
      <c r="D11" s="62">
        <v>42.100373956752499</v>
      </c>
      <c r="E11" s="37">
        <v>12.6939357926539</v>
      </c>
      <c r="F11" s="60" t="s">
        <v>521</v>
      </c>
      <c r="G11" s="62">
        <v>11</v>
      </c>
      <c r="H11" s="60">
        <v>1E-3</v>
      </c>
      <c r="L11" s="7" t="s">
        <v>89</v>
      </c>
      <c r="M11" s="7">
        <v>42.100373956752499</v>
      </c>
      <c r="N11" s="7">
        <v>12.6939357926539</v>
      </c>
      <c r="O11" s="7">
        <v>17.220716981086898</v>
      </c>
      <c r="P11" s="7">
        <v>66.980030932418202</v>
      </c>
      <c r="Q11" s="7" t="s">
        <v>514</v>
      </c>
      <c r="R11" s="7" t="str">
        <f t="shared" si="0"/>
        <v>17.22 - 66.98</v>
      </c>
    </row>
    <row r="12" spans="2:18" x14ac:dyDescent="0.55000000000000004">
      <c r="B12" s="76"/>
      <c r="C12" s="9" t="s">
        <v>469</v>
      </c>
      <c r="D12" s="38">
        <v>-20.2182030049639</v>
      </c>
      <c r="E12" s="38">
        <v>16.134598158564302</v>
      </c>
      <c r="F12" s="4" t="s">
        <v>522</v>
      </c>
      <c r="G12" s="12">
        <v>1.57</v>
      </c>
      <c r="H12" s="12">
        <v>0.21</v>
      </c>
      <c r="L12" s="7" t="s">
        <v>90</v>
      </c>
      <c r="M12" s="7">
        <v>-20.2182030049639</v>
      </c>
      <c r="N12" s="7">
        <v>16.134598158564302</v>
      </c>
      <c r="O12" s="7">
        <v>-51.8414343007762</v>
      </c>
      <c r="P12" s="7">
        <v>11.4050282908483</v>
      </c>
      <c r="Q12" s="7" t="s">
        <v>514</v>
      </c>
      <c r="R12" s="7" t="str">
        <f t="shared" si="0"/>
        <v>-51.84 - 11.41</v>
      </c>
    </row>
  </sheetData>
  <mergeCells count="4">
    <mergeCell ref="B9:B12"/>
    <mergeCell ref="B5:B8"/>
    <mergeCell ref="G3:H3"/>
    <mergeCell ref="D3:F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B7EF8E-4DAC-49A2-B00A-F577312382CB}">
  <dimension ref="B2:M20"/>
  <sheetViews>
    <sheetView workbookViewId="0">
      <selection activeCell="B2" sqref="B2:H8"/>
    </sheetView>
  </sheetViews>
  <sheetFormatPr defaultRowHeight="15.3" x14ac:dyDescent="0.55000000000000004"/>
  <cols>
    <col min="1" max="1" width="8.83984375" style="1"/>
    <col min="2" max="2" width="12.5234375" style="1" customWidth="1"/>
    <col min="3" max="3" width="6.26171875" style="1" customWidth="1"/>
    <col min="4" max="5" width="10.578125" style="1" customWidth="1"/>
    <col min="6" max="6" width="11.734375" style="1" customWidth="1"/>
    <col min="7" max="7" width="8.68359375" style="1" customWidth="1"/>
    <col min="8" max="8" width="8" style="1" customWidth="1"/>
    <col min="9" max="16384" width="8.83984375" style="1"/>
  </cols>
  <sheetData>
    <row r="2" spans="2:13" x14ac:dyDescent="0.55000000000000004">
      <c r="B2" s="9" t="s">
        <v>545</v>
      </c>
      <c r="C2" s="3"/>
      <c r="D2" s="3"/>
      <c r="E2" s="3"/>
      <c r="F2" s="3"/>
      <c r="G2" s="3"/>
      <c r="H2" s="3"/>
    </row>
    <row r="3" spans="2:13" x14ac:dyDescent="0.55000000000000004">
      <c r="B3" s="13" t="s">
        <v>97</v>
      </c>
      <c r="C3" s="14" t="s">
        <v>37</v>
      </c>
      <c r="D3" s="14" t="s">
        <v>123</v>
      </c>
      <c r="E3" s="14" t="s">
        <v>59</v>
      </c>
      <c r="F3" s="14" t="s">
        <v>124</v>
      </c>
      <c r="G3" s="15" t="s">
        <v>60</v>
      </c>
      <c r="H3" s="15" t="s">
        <v>30</v>
      </c>
      <c r="M3" s="23"/>
    </row>
    <row r="4" spans="2:13" x14ac:dyDescent="0.55000000000000004">
      <c r="B4" s="56" t="s">
        <v>9</v>
      </c>
      <c r="C4" s="60">
        <v>1</v>
      </c>
      <c r="D4" s="26">
        <v>1.0233000000000001</v>
      </c>
      <c r="E4" s="26">
        <v>1.0233000000000001</v>
      </c>
      <c r="F4" s="26">
        <v>2.5310000000000001</v>
      </c>
      <c r="G4" s="26">
        <v>5.7299999999999997E-2</v>
      </c>
      <c r="H4" s="26">
        <v>1E-3</v>
      </c>
    </row>
    <row r="5" spans="2:13" x14ac:dyDescent="0.55000000000000004">
      <c r="B5" s="56" t="s">
        <v>0</v>
      </c>
      <c r="C5" s="60">
        <v>1</v>
      </c>
      <c r="D5" s="26">
        <v>0.88070000000000004</v>
      </c>
      <c r="E5" s="26">
        <v>0.88070000000000004</v>
      </c>
      <c r="F5" s="26">
        <v>2.1779999999999999</v>
      </c>
      <c r="G5" s="26">
        <v>4.9299999999999997E-2</v>
      </c>
      <c r="H5" s="26">
        <v>1E-3</v>
      </c>
    </row>
    <row r="6" spans="2:13" x14ac:dyDescent="0.55000000000000004">
      <c r="B6" s="56" t="s">
        <v>469</v>
      </c>
      <c r="C6" s="60">
        <v>1</v>
      </c>
      <c r="D6" s="26">
        <v>0.57789999999999997</v>
      </c>
      <c r="E6" s="26">
        <v>0.57789999999999997</v>
      </c>
      <c r="F6" s="26">
        <v>1.429</v>
      </c>
      <c r="G6" s="26">
        <v>3.2399999999999998E-2</v>
      </c>
      <c r="H6" s="26">
        <v>2.4E-2</v>
      </c>
    </row>
    <row r="7" spans="2:13" x14ac:dyDescent="0.55000000000000004">
      <c r="B7" s="7" t="s">
        <v>61</v>
      </c>
      <c r="C7" s="2">
        <v>38</v>
      </c>
      <c r="D7" s="11">
        <v>15.3659</v>
      </c>
      <c r="E7" s="11">
        <v>0.40439999999999998</v>
      </c>
      <c r="F7" s="11"/>
      <c r="G7" s="11">
        <v>0.8609</v>
      </c>
      <c r="H7" s="11"/>
    </row>
    <row r="8" spans="2:13" x14ac:dyDescent="0.55000000000000004">
      <c r="B8" s="9" t="s">
        <v>62</v>
      </c>
      <c r="C8" s="4">
        <v>41</v>
      </c>
      <c r="D8" s="12">
        <v>17.847799999999999</v>
      </c>
      <c r="E8" s="12"/>
      <c r="F8" s="12"/>
      <c r="G8" s="12">
        <v>1</v>
      </c>
      <c r="H8" s="4"/>
      <c r="M8" s="3"/>
    </row>
    <row r="9" spans="2:13" x14ac:dyDescent="0.55000000000000004">
      <c r="B9" s="7"/>
      <c r="C9" s="7"/>
      <c r="D9" s="7"/>
      <c r="E9" s="7"/>
      <c r="F9" s="7"/>
      <c r="G9" s="7"/>
      <c r="H9" s="7"/>
    </row>
    <row r="16" spans="2:13" x14ac:dyDescent="0.55000000000000004">
      <c r="B16" s="1" t="s">
        <v>500</v>
      </c>
    </row>
    <row r="17" spans="2:2" x14ac:dyDescent="0.55000000000000004">
      <c r="B17" s="1" t="s">
        <v>501</v>
      </c>
    </row>
    <row r="18" spans="2:2" x14ac:dyDescent="0.55000000000000004">
      <c r="B18" s="1" t="s">
        <v>502</v>
      </c>
    </row>
    <row r="19" spans="2:2" x14ac:dyDescent="0.55000000000000004">
      <c r="B19" s="1" t="s">
        <v>503</v>
      </c>
    </row>
    <row r="20" spans="2:2" x14ac:dyDescent="0.55000000000000004">
      <c r="B20" s="1" t="s">
        <v>504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F07FD-CA9B-4873-973B-9AB7C54D4B51}">
  <dimension ref="B2:M13"/>
  <sheetViews>
    <sheetView zoomScale="115" zoomScaleNormal="115" workbookViewId="0">
      <selection activeCell="B2" sqref="B2"/>
    </sheetView>
  </sheetViews>
  <sheetFormatPr defaultRowHeight="15.3" x14ac:dyDescent="0.55000000000000004"/>
  <cols>
    <col min="1" max="1" width="8.83984375" style="7"/>
    <col min="2" max="2" width="37.578125" style="7" customWidth="1"/>
    <col min="3" max="3" width="8.83984375" style="7"/>
    <col min="4" max="4" width="10.05078125" style="7" customWidth="1"/>
    <col min="5" max="5" width="13.05078125" style="7" customWidth="1"/>
    <col min="6" max="16384" width="8.83984375" style="7"/>
  </cols>
  <sheetData>
    <row r="2" spans="2:13" x14ac:dyDescent="0.55000000000000004">
      <c r="B2" s="9" t="s">
        <v>542</v>
      </c>
      <c r="C2" s="9"/>
      <c r="D2" s="9"/>
      <c r="E2" s="9"/>
      <c r="F2" s="9"/>
      <c r="G2" s="9"/>
      <c r="L2" s="9" t="s">
        <v>531</v>
      </c>
    </row>
    <row r="3" spans="2:13" s="20" customFormat="1" ht="30" x14ac:dyDescent="0.55000000000000004">
      <c r="B3" s="16" t="s">
        <v>539</v>
      </c>
      <c r="C3" s="17" t="s">
        <v>37</v>
      </c>
      <c r="D3" s="17" t="s">
        <v>123</v>
      </c>
      <c r="E3" s="17" t="s">
        <v>124</v>
      </c>
      <c r="F3" s="66" t="s">
        <v>540</v>
      </c>
      <c r="G3" s="66" t="s">
        <v>30</v>
      </c>
      <c r="K3" s="17" t="s">
        <v>480</v>
      </c>
      <c r="L3" s="17" t="s">
        <v>527</v>
      </c>
      <c r="M3" s="20" t="s">
        <v>528</v>
      </c>
    </row>
    <row r="4" spans="2:13" x14ac:dyDescent="0.55000000000000004">
      <c r="B4" s="7" t="s">
        <v>533</v>
      </c>
      <c r="C4" s="2">
        <v>1</v>
      </c>
      <c r="D4" s="11">
        <v>0.69882923926354401</v>
      </c>
      <c r="E4" s="11">
        <v>1.6697208187636401</v>
      </c>
      <c r="F4" s="11">
        <v>8.07810049010384E-2</v>
      </c>
      <c r="G4" s="2">
        <v>5.3999999999999902E-2</v>
      </c>
      <c r="K4" s="2">
        <v>8.9999999999999993E-3</v>
      </c>
      <c r="L4" s="2">
        <v>5.3999999999999902E-2</v>
      </c>
    </row>
    <row r="5" spans="2:13" x14ac:dyDescent="0.55000000000000004">
      <c r="B5" s="56" t="s">
        <v>534</v>
      </c>
      <c r="C5" s="60">
        <v>1</v>
      </c>
      <c r="D5" s="26">
        <v>0.91544754027634501</v>
      </c>
      <c r="E5" s="26">
        <v>2.2922838669208199</v>
      </c>
      <c r="F5" s="26">
        <v>8.7184661420943499E-2</v>
      </c>
      <c r="G5" s="60">
        <v>6.0000000000000001E-3</v>
      </c>
      <c r="K5" s="60">
        <v>1E-3</v>
      </c>
      <c r="L5" s="60">
        <v>6.0000000000000001E-3</v>
      </c>
      <c r="M5" s="7" t="s">
        <v>529</v>
      </c>
    </row>
    <row r="6" spans="2:13" x14ac:dyDescent="0.55000000000000004">
      <c r="B6" s="56" t="s">
        <v>536</v>
      </c>
      <c r="C6" s="60">
        <v>1</v>
      </c>
      <c r="D6" s="26">
        <v>0.80845850271059305</v>
      </c>
      <c r="E6" s="26">
        <v>1.9153431678489401</v>
      </c>
      <c r="F6" s="26">
        <v>9.1575985747783903E-2</v>
      </c>
      <c r="G6" s="60">
        <v>1.2E-2</v>
      </c>
      <c r="K6" s="60">
        <v>2E-3</v>
      </c>
      <c r="L6" s="60">
        <v>1.2E-2</v>
      </c>
      <c r="M6" s="7" t="s">
        <v>530</v>
      </c>
    </row>
    <row r="7" spans="2:13" x14ac:dyDescent="0.55000000000000004">
      <c r="B7" s="56" t="s">
        <v>535</v>
      </c>
      <c r="C7" s="60">
        <v>1</v>
      </c>
      <c r="D7" s="26">
        <v>1.04085892320895</v>
      </c>
      <c r="E7" s="26">
        <v>2.69210238493176</v>
      </c>
      <c r="F7" s="26">
        <v>0.124105185249439</v>
      </c>
      <c r="G7" s="60">
        <v>6.0000000000000001E-3</v>
      </c>
      <c r="K7" s="60">
        <v>1E-3</v>
      </c>
      <c r="L7" s="60">
        <v>6.0000000000000001E-3</v>
      </c>
      <c r="M7" s="7" t="s">
        <v>529</v>
      </c>
    </row>
    <row r="8" spans="2:13" x14ac:dyDescent="0.55000000000000004">
      <c r="B8" s="56" t="s">
        <v>537</v>
      </c>
      <c r="C8" s="60">
        <v>1</v>
      </c>
      <c r="D8" s="26">
        <v>0.68573984516153397</v>
      </c>
      <c r="E8" s="26">
        <v>1.6606106509874199</v>
      </c>
      <c r="F8" s="26">
        <v>0.106037413737932</v>
      </c>
      <c r="G8" s="60">
        <v>4.2000000000000003E-2</v>
      </c>
      <c r="K8" s="60">
        <v>7.0000000000000001E-3</v>
      </c>
      <c r="L8" s="60">
        <v>4.2000000000000003E-2</v>
      </c>
      <c r="M8" s="7" t="s">
        <v>530</v>
      </c>
    </row>
    <row r="9" spans="2:13" x14ac:dyDescent="0.55000000000000004">
      <c r="B9" s="13" t="s">
        <v>538</v>
      </c>
      <c r="C9" s="14">
        <v>1</v>
      </c>
      <c r="D9" s="46">
        <v>0.75975073957093897</v>
      </c>
      <c r="E9" s="46">
        <v>1.9470826175350999</v>
      </c>
      <c r="F9" s="46">
        <v>9.2952448466745996E-2</v>
      </c>
      <c r="G9" s="14">
        <v>4.8000000000000001E-2</v>
      </c>
      <c r="K9" s="14">
        <v>8.0000000000000002E-3</v>
      </c>
      <c r="L9" s="14">
        <v>4.8000000000000001E-2</v>
      </c>
      <c r="M9" s="7" t="s">
        <v>530</v>
      </c>
    </row>
    <row r="13" spans="2:13" x14ac:dyDescent="0.55000000000000004">
      <c r="B13" s="7" t="s">
        <v>532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89D422-72F0-4221-8052-05EF315A051E}">
  <dimension ref="B2:L81"/>
  <sheetViews>
    <sheetView topLeftCell="A19" workbookViewId="0">
      <selection activeCell="D9" sqref="C9:D9"/>
    </sheetView>
  </sheetViews>
  <sheetFormatPr defaultRowHeight="15.3" x14ac:dyDescent="0.55000000000000004"/>
  <cols>
    <col min="1" max="1" width="8.83984375" style="1"/>
    <col min="2" max="2" width="19.7890625" style="1" customWidth="1"/>
    <col min="3" max="3" width="32.83984375" style="1" customWidth="1"/>
    <col min="4" max="4" width="16.9453125" style="1" customWidth="1"/>
    <col min="5" max="5" width="10.68359375" style="1" bestFit="1" customWidth="1"/>
    <col min="6" max="6" width="4.3125" style="1" customWidth="1"/>
    <col min="7" max="7" width="8.41796875" style="1" customWidth="1"/>
    <col min="8" max="8" width="10.68359375" style="1" bestFit="1" customWidth="1"/>
    <col min="9" max="11" width="8.83984375" style="1"/>
    <col min="12" max="12" width="30.05078125" style="1" customWidth="1"/>
    <col min="13" max="16384" width="8.83984375" style="1"/>
  </cols>
  <sheetData>
    <row r="2" spans="2:12" x14ac:dyDescent="0.55000000000000004">
      <c r="B2" s="3" t="s">
        <v>523</v>
      </c>
      <c r="C2" s="3"/>
      <c r="D2" s="3"/>
      <c r="E2" s="3"/>
      <c r="F2" s="3"/>
      <c r="G2" s="3"/>
      <c r="H2" s="3"/>
      <c r="L2" s="3"/>
    </row>
    <row r="3" spans="2:12" x14ac:dyDescent="0.55000000000000004">
      <c r="B3" s="13" t="s">
        <v>28</v>
      </c>
      <c r="C3" s="13" t="s">
        <v>166</v>
      </c>
      <c r="D3" s="14" t="s">
        <v>165</v>
      </c>
      <c r="E3" s="14" t="s">
        <v>85</v>
      </c>
      <c r="F3" s="14" t="s">
        <v>37</v>
      </c>
      <c r="G3" s="14" t="s">
        <v>193</v>
      </c>
      <c r="H3" s="15" t="s">
        <v>30</v>
      </c>
      <c r="L3" s="23" t="s">
        <v>84</v>
      </c>
    </row>
    <row r="4" spans="2:12" x14ac:dyDescent="0.55000000000000004">
      <c r="B4" s="79" t="s">
        <v>125</v>
      </c>
      <c r="C4" s="7" t="s">
        <v>481</v>
      </c>
      <c r="D4" s="11">
        <v>-6.9062396121551003E-2</v>
      </c>
      <c r="E4" s="11">
        <v>0.15746145749347701</v>
      </c>
      <c r="F4" s="25">
        <v>19</v>
      </c>
      <c r="G4" s="11">
        <v>-0.438598735340754</v>
      </c>
      <c r="H4" s="11">
        <v>0.97100769171783896</v>
      </c>
      <c r="L4" s="1" t="s">
        <v>506</v>
      </c>
    </row>
    <row r="5" spans="2:12" x14ac:dyDescent="0.55000000000000004">
      <c r="B5" s="74"/>
      <c r="C5" s="7" t="s">
        <v>482</v>
      </c>
      <c r="D5" s="11">
        <v>-0.39106710396841998</v>
      </c>
      <c r="E5" s="11">
        <v>0.21083861334450299</v>
      </c>
      <c r="F5" s="25">
        <v>35.454671506857402</v>
      </c>
      <c r="G5" s="11">
        <v>-1.8548172830629801</v>
      </c>
      <c r="H5" s="11">
        <v>0.26556968475672299</v>
      </c>
      <c r="L5" s="1" t="s">
        <v>507</v>
      </c>
    </row>
    <row r="6" spans="2:12" x14ac:dyDescent="0.55000000000000004">
      <c r="B6" s="74"/>
      <c r="C6" s="7" t="s">
        <v>483</v>
      </c>
      <c r="D6" s="11">
        <v>5.3509802171904798E-2</v>
      </c>
      <c r="E6" s="11">
        <v>0.21083861334450399</v>
      </c>
      <c r="F6" s="25">
        <v>35.454671506857402</v>
      </c>
      <c r="G6" s="11">
        <v>0.25379507730147699</v>
      </c>
      <c r="H6" s="11">
        <v>0.99415968689434797</v>
      </c>
      <c r="L6" s="1" t="s">
        <v>508</v>
      </c>
    </row>
    <row r="7" spans="2:12" x14ac:dyDescent="0.55000000000000004">
      <c r="B7" s="74"/>
      <c r="C7" s="7" t="s">
        <v>484</v>
      </c>
      <c r="D7" s="11">
        <v>-0.32200470784686902</v>
      </c>
      <c r="E7" s="11">
        <v>0.21083861334450399</v>
      </c>
      <c r="F7" s="25">
        <v>35.454671506857402</v>
      </c>
      <c r="G7" s="11">
        <v>-1.52725680907758</v>
      </c>
      <c r="H7" s="11">
        <v>0.43244232901096702</v>
      </c>
      <c r="L7" s="1" t="s">
        <v>509</v>
      </c>
    </row>
    <row r="8" spans="2:12" x14ac:dyDescent="0.55000000000000004">
      <c r="B8" s="74"/>
      <c r="C8" s="7" t="s">
        <v>485</v>
      </c>
      <c r="D8" s="11">
        <v>0.122572198293455</v>
      </c>
      <c r="E8" s="11">
        <v>0.21083861334450399</v>
      </c>
      <c r="F8" s="25">
        <v>35.454671506857402</v>
      </c>
      <c r="G8" s="11">
        <v>0.58135555128688099</v>
      </c>
      <c r="H8" s="11">
        <v>0.93703846066674101</v>
      </c>
      <c r="L8" s="1" t="s">
        <v>510</v>
      </c>
    </row>
    <row r="9" spans="2:12" x14ac:dyDescent="0.55000000000000004">
      <c r="B9" s="74"/>
      <c r="C9" s="7" t="s">
        <v>486</v>
      </c>
      <c r="D9" s="11">
        <v>0.44457690614032502</v>
      </c>
      <c r="E9" s="11">
        <v>0.20072476109949999</v>
      </c>
      <c r="F9" s="25">
        <v>19</v>
      </c>
      <c r="G9" s="11">
        <v>2.2148583149636698</v>
      </c>
      <c r="H9" s="11">
        <v>0.15502652660289601</v>
      </c>
      <c r="L9" s="1" t="s">
        <v>505</v>
      </c>
    </row>
    <row r="10" spans="2:12" x14ac:dyDescent="0.55000000000000004">
      <c r="B10" s="74" t="s">
        <v>511</v>
      </c>
      <c r="C10" s="1" t="s">
        <v>481</v>
      </c>
      <c r="D10" s="28">
        <v>-4.7191011076394798E-2</v>
      </c>
      <c r="E10" s="28">
        <v>3.87456256679269E-2</v>
      </c>
      <c r="F10" s="64">
        <v>19</v>
      </c>
      <c r="G10" s="28">
        <v>-1.21797003565898</v>
      </c>
      <c r="H10" s="28">
        <v>0.623438670397788</v>
      </c>
    </row>
    <row r="11" spans="2:12" x14ac:dyDescent="0.55000000000000004">
      <c r="B11" s="74"/>
      <c r="C11" s="1" t="s">
        <v>482</v>
      </c>
      <c r="D11" s="28">
        <v>-2.2988579896997301E-2</v>
      </c>
      <c r="E11" s="28">
        <v>4.7224459538560602E-2</v>
      </c>
      <c r="F11" s="64">
        <v>37.491232867426902</v>
      </c>
      <c r="G11" s="28">
        <v>-0.48679392250590597</v>
      </c>
      <c r="H11" s="28">
        <v>0.961563711983626</v>
      </c>
    </row>
    <row r="12" spans="2:12" x14ac:dyDescent="0.55000000000000004">
      <c r="B12" s="74"/>
      <c r="C12" s="1" t="s">
        <v>483</v>
      </c>
      <c r="D12" s="28">
        <v>4.2992940803116102E-2</v>
      </c>
      <c r="E12" s="28">
        <v>4.7224459538560602E-2</v>
      </c>
      <c r="F12" s="64">
        <v>37.491232867427001</v>
      </c>
      <c r="G12" s="28">
        <v>0.91039561327347196</v>
      </c>
      <c r="H12" s="28">
        <v>0.79942089835800001</v>
      </c>
    </row>
    <row r="13" spans="2:12" x14ac:dyDescent="0.55000000000000004">
      <c r="B13" s="74"/>
      <c r="C13" s="1" t="s">
        <v>484</v>
      </c>
      <c r="D13" s="28">
        <v>2.42024311793974E-2</v>
      </c>
      <c r="E13" s="28">
        <v>4.7224459538560498E-2</v>
      </c>
      <c r="F13" s="64">
        <v>37.491232867427001</v>
      </c>
      <c r="G13" s="28">
        <v>0.51249779067635903</v>
      </c>
      <c r="H13" s="28">
        <v>0.95559947563236203</v>
      </c>
    </row>
    <row r="14" spans="2:12" x14ac:dyDescent="0.55000000000000004">
      <c r="B14" s="74"/>
      <c r="C14" s="1" t="s">
        <v>485</v>
      </c>
      <c r="D14" s="28">
        <v>9.0183951879511004E-2</v>
      </c>
      <c r="E14" s="28">
        <v>4.7224459538560498E-2</v>
      </c>
      <c r="F14" s="64">
        <v>37.491232867427001</v>
      </c>
      <c r="G14" s="28">
        <v>1.9096873264557299</v>
      </c>
      <c r="H14" s="28">
        <v>0.24135498612998199</v>
      </c>
    </row>
    <row r="15" spans="2:12" x14ac:dyDescent="0.55000000000000004">
      <c r="B15" s="74"/>
      <c r="C15" s="1" t="s">
        <v>486</v>
      </c>
      <c r="D15" s="28">
        <v>6.5981520700113497E-2</v>
      </c>
      <c r="E15" s="28">
        <v>4.9391175336780203E-2</v>
      </c>
      <c r="F15" s="64">
        <v>19</v>
      </c>
      <c r="G15" s="28">
        <v>1.3358969542678301</v>
      </c>
      <c r="H15" s="28">
        <v>0.55251952952679795</v>
      </c>
    </row>
    <row r="16" spans="2:12" x14ac:dyDescent="0.55000000000000004">
      <c r="B16" s="74" t="s">
        <v>277</v>
      </c>
      <c r="C16" s="7" t="s">
        <v>481</v>
      </c>
      <c r="D16" s="11">
        <v>-7.7709843652322298E-3</v>
      </c>
      <c r="E16" s="11">
        <v>2.9842812924167898E-2</v>
      </c>
      <c r="F16" s="25">
        <v>19</v>
      </c>
      <c r="G16" s="11">
        <v>-0.26039718122345501</v>
      </c>
      <c r="H16" s="11">
        <v>0.99360187168156699</v>
      </c>
      <c r="L16" s="1" t="s">
        <v>506</v>
      </c>
    </row>
    <row r="17" spans="2:12" x14ac:dyDescent="0.55000000000000004">
      <c r="B17" s="74"/>
      <c r="C17" s="7" t="s">
        <v>482</v>
      </c>
      <c r="D17" s="11">
        <v>-4.0055569937918201E-2</v>
      </c>
      <c r="E17" s="11">
        <v>3.5200362487224003E-2</v>
      </c>
      <c r="F17" s="25">
        <v>37.878548352088799</v>
      </c>
      <c r="G17" s="11">
        <v>-1.1379306094491599</v>
      </c>
      <c r="H17" s="11">
        <v>0.66874107493503898</v>
      </c>
      <c r="L17" s="1" t="s">
        <v>507</v>
      </c>
    </row>
    <row r="18" spans="2:12" x14ac:dyDescent="0.55000000000000004">
      <c r="B18" s="74"/>
      <c r="C18" s="7" t="s">
        <v>483</v>
      </c>
      <c r="D18" s="11">
        <v>4.4853366884298397E-2</v>
      </c>
      <c r="E18" s="11">
        <v>3.5200362487224003E-2</v>
      </c>
      <c r="F18" s="25">
        <v>37.8785483520887</v>
      </c>
      <c r="G18" s="11">
        <v>1.2742302554576801</v>
      </c>
      <c r="H18" s="11">
        <v>0.58460457099076302</v>
      </c>
      <c r="L18" s="1" t="s">
        <v>508</v>
      </c>
    </row>
    <row r="19" spans="2:12" x14ac:dyDescent="0.55000000000000004">
      <c r="B19" s="74"/>
      <c r="C19" s="7" t="s">
        <v>484</v>
      </c>
      <c r="D19" s="11">
        <v>-3.2284585572685903E-2</v>
      </c>
      <c r="E19" s="11">
        <v>3.5200362487224003E-2</v>
      </c>
      <c r="F19" s="25">
        <v>37.8785483520887</v>
      </c>
      <c r="G19" s="11">
        <v>-0.917166281580301</v>
      </c>
      <c r="H19" s="11">
        <v>0.79584466402171405</v>
      </c>
      <c r="L19" s="1" t="s">
        <v>509</v>
      </c>
    </row>
    <row r="20" spans="2:12" x14ac:dyDescent="0.55000000000000004">
      <c r="B20" s="74"/>
      <c r="C20" s="7" t="s">
        <v>485</v>
      </c>
      <c r="D20" s="11">
        <v>5.2624351249530597E-2</v>
      </c>
      <c r="E20" s="11">
        <v>3.5200362487224003E-2</v>
      </c>
      <c r="F20" s="25">
        <v>37.8785483520887</v>
      </c>
      <c r="G20" s="11">
        <v>1.4949945833265399</v>
      </c>
      <c r="H20" s="11">
        <v>0.45045044441925802</v>
      </c>
      <c r="L20" s="1" t="s">
        <v>510</v>
      </c>
    </row>
    <row r="21" spans="2:12" x14ac:dyDescent="0.55000000000000004">
      <c r="B21" s="74"/>
      <c r="C21" s="7" t="s">
        <v>486</v>
      </c>
      <c r="D21" s="11">
        <v>8.4908936822216605E-2</v>
      </c>
      <c r="E21" s="11">
        <v>3.8042271360207797E-2</v>
      </c>
      <c r="F21" s="25">
        <v>19</v>
      </c>
      <c r="G21" s="11">
        <v>2.2319628609513402</v>
      </c>
      <c r="H21" s="11">
        <v>0.15043761134561801</v>
      </c>
      <c r="L21" s="1" t="s">
        <v>505</v>
      </c>
    </row>
    <row r="22" spans="2:12" x14ac:dyDescent="0.55000000000000004">
      <c r="B22" s="74" t="s">
        <v>31</v>
      </c>
      <c r="C22" s="7" t="s">
        <v>481</v>
      </c>
      <c r="D22" s="11">
        <v>-0.66174257591353502</v>
      </c>
      <c r="E22" s="11">
        <v>2.4640979498953799</v>
      </c>
      <c r="F22" s="25">
        <v>18.999999999999901</v>
      </c>
      <c r="G22" s="11">
        <v>-0.26855368145638397</v>
      </c>
      <c r="H22" s="11">
        <v>0.99299461771556896</v>
      </c>
      <c r="L22" s="1" t="s">
        <v>506</v>
      </c>
    </row>
    <row r="23" spans="2:12" x14ac:dyDescent="0.55000000000000004">
      <c r="B23" s="74"/>
      <c r="C23" s="7" t="s">
        <v>482</v>
      </c>
      <c r="D23" s="11">
        <v>-5.2320540394218797</v>
      </c>
      <c r="E23" s="11">
        <v>3.27495080173472</v>
      </c>
      <c r="F23" s="25">
        <v>35.646137160024402</v>
      </c>
      <c r="G23" s="11">
        <v>-1.5975977522014899</v>
      </c>
      <c r="H23" s="11">
        <v>0.39286391363163298</v>
      </c>
      <c r="L23" s="1" t="s">
        <v>507</v>
      </c>
    </row>
    <row r="24" spans="2:12" x14ac:dyDescent="0.55000000000000004">
      <c r="B24" s="74"/>
      <c r="C24" s="7" t="s">
        <v>483</v>
      </c>
      <c r="D24" s="11">
        <v>0.10801444607810699</v>
      </c>
      <c r="E24" s="11">
        <v>3.27495080173472</v>
      </c>
      <c r="F24" s="25">
        <v>35.646137160024502</v>
      </c>
      <c r="G24" s="11">
        <v>3.2982005720785898E-2</v>
      </c>
      <c r="H24" s="11">
        <v>0.99998685033863999</v>
      </c>
      <c r="L24" s="1" t="s">
        <v>508</v>
      </c>
    </row>
    <row r="25" spans="2:12" x14ac:dyDescent="0.55000000000000004">
      <c r="B25" s="74"/>
      <c r="C25" s="7" t="s">
        <v>484</v>
      </c>
      <c r="D25" s="11">
        <v>-4.5703114635083502</v>
      </c>
      <c r="E25" s="11">
        <v>3.27495080173472</v>
      </c>
      <c r="F25" s="25">
        <v>35.646137160024502</v>
      </c>
      <c r="G25" s="11">
        <v>-1.3955359149479301</v>
      </c>
      <c r="H25" s="11">
        <v>0.51034161485391405</v>
      </c>
      <c r="L25" s="1" t="s">
        <v>509</v>
      </c>
    </row>
    <row r="26" spans="2:12" x14ac:dyDescent="0.55000000000000004">
      <c r="B26" s="74"/>
      <c r="C26" s="7" t="s">
        <v>485</v>
      </c>
      <c r="D26" s="11">
        <v>0.76975702199164198</v>
      </c>
      <c r="E26" s="11">
        <v>3.27495080173472</v>
      </c>
      <c r="F26" s="25">
        <v>35.646137160024502</v>
      </c>
      <c r="G26" s="11">
        <v>0.235043842974345</v>
      </c>
      <c r="H26" s="11">
        <v>0.99534416164256001</v>
      </c>
      <c r="L26" s="1" t="s">
        <v>510</v>
      </c>
    </row>
    <row r="27" spans="2:12" x14ac:dyDescent="0.55000000000000004">
      <c r="B27" s="74"/>
      <c r="C27" s="7" t="s">
        <v>486</v>
      </c>
      <c r="D27" s="11">
        <v>5.34006848549999</v>
      </c>
      <c r="E27" s="11">
        <v>3.1411208824801302</v>
      </c>
      <c r="F27" s="25">
        <v>19</v>
      </c>
      <c r="G27" s="11">
        <v>1.70005188761905</v>
      </c>
      <c r="H27" s="11">
        <v>0.35094387254699599</v>
      </c>
      <c r="L27" s="1" t="s">
        <v>505</v>
      </c>
    </row>
    <row r="28" spans="2:12" x14ac:dyDescent="0.55000000000000004">
      <c r="B28" s="74" t="s">
        <v>127</v>
      </c>
      <c r="C28" s="7" t="s">
        <v>481</v>
      </c>
      <c r="D28" s="11">
        <v>-1.0174494791242E-2</v>
      </c>
      <c r="E28" s="11">
        <v>3.0109659825284799E-2</v>
      </c>
      <c r="F28" s="25">
        <v>18.999999999999901</v>
      </c>
      <c r="G28" s="11">
        <v>-0.33791463770367303</v>
      </c>
      <c r="H28" s="11">
        <v>0.98629337615628199</v>
      </c>
      <c r="L28" s="1" t="s">
        <v>506</v>
      </c>
    </row>
    <row r="29" spans="2:12" x14ac:dyDescent="0.55000000000000004">
      <c r="B29" s="74"/>
      <c r="C29" s="7" t="s">
        <v>482</v>
      </c>
      <c r="D29" s="11">
        <v>-3.9243498999077302E-2</v>
      </c>
      <c r="E29" s="11">
        <v>3.5472585181887999E-2</v>
      </c>
      <c r="F29" s="25">
        <v>37.888035961430496</v>
      </c>
      <c r="G29" s="11">
        <v>-1.1063050183079</v>
      </c>
      <c r="H29" s="11">
        <v>0.68790617537788901</v>
      </c>
      <c r="L29" s="1" t="s">
        <v>507</v>
      </c>
    </row>
    <row r="30" spans="2:12" x14ac:dyDescent="0.55000000000000004">
      <c r="B30" s="74"/>
      <c r="C30" s="7" t="s">
        <v>483</v>
      </c>
      <c r="D30" s="11">
        <v>4.4940970026247397E-2</v>
      </c>
      <c r="E30" s="11">
        <v>3.5472585181887999E-2</v>
      </c>
      <c r="F30" s="25">
        <v>37.888035961430496</v>
      </c>
      <c r="G30" s="11">
        <v>1.26692119550378</v>
      </c>
      <c r="H30" s="11">
        <v>0.58913982393188702</v>
      </c>
      <c r="L30" s="1" t="s">
        <v>508</v>
      </c>
    </row>
    <row r="31" spans="2:12" x14ac:dyDescent="0.55000000000000004">
      <c r="B31" s="74"/>
      <c r="C31" s="7" t="s">
        <v>484</v>
      </c>
      <c r="D31" s="11">
        <v>-2.90690042078353E-2</v>
      </c>
      <c r="E31" s="11">
        <v>3.5472585181887999E-2</v>
      </c>
      <c r="F31" s="25">
        <v>37.888035961430397</v>
      </c>
      <c r="G31" s="11">
        <v>-0.81947802954823001</v>
      </c>
      <c r="H31" s="11">
        <v>0.84489085603009095</v>
      </c>
      <c r="L31" s="1" t="s">
        <v>509</v>
      </c>
    </row>
    <row r="32" spans="2:12" x14ac:dyDescent="0.55000000000000004">
      <c r="B32" s="74"/>
      <c r="C32" s="7" t="s">
        <v>485</v>
      </c>
      <c r="D32" s="11">
        <v>5.5115464817489399E-2</v>
      </c>
      <c r="E32" s="11">
        <v>3.5472585181887999E-2</v>
      </c>
      <c r="F32" s="25">
        <v>37.888035961430397</v>
      </c>
      <c r="G32" s="11">
        <v>1.55374818426345</v>
      </c>
      <c r="H32" s="11">
        <v>0.41661803734855302</v>
      </c>
      <c r="L32" s="1" t="s">
        <v>510</v>
      </c>
    </row>
    <row r="33" spans="2:12" x14ac:dyDescent="0.55000000000000004">
      <c r="B33" s="74"/>
      <c r="C33" s="7" t="s">
        <v>486</v>
      </c>
      <c r="D33" s="11">
        <v>8.4184469025324796E-2</v>
      </c>
      <c r="E33" s="11">
        <v>3.8382435749192097E-2</v>
      </c>
      <c r="F33" s="25">
        <v>19</v>
      </c>
      <c r="G33" s="11">
        <v>2.1933071047242398</v>
      </c>
      <c r="H33" s="11">
        <v>0.160970430564703</v>
      </c>
      <c r="L33" s="1" t="s">
        <v>505</v>
      </c>
    </row>
    <row r="34" spans="2:12" x14ac:dyDescent="0.55000000000000004">
      <c r="B34" s="74" t="s">
        <v>128</v>
      </c>
      <c r="C34" s="7" t="s">
        <v>481</v>
      </c>
      <c r="D34" s="11">
        <v>-3.4731119705589699</v>
      </c>
      <c r="E34" s="11">
        <v>2.24097809911019</v>
      </c>
      <c r="F34" s="25">
        <v>19</v>
      </c>
      <c r="G34" s="11">
        <v>-1.54981968451097</v>
      </c>
      <c r="H34" s="11">
        <v>0.42921223254167401</v>
      </c>
      <c r="L34" s="1" t="s">
        <v>506</v>
      </c>
    </row>
    <row r="35" spans="2:12" x14ac:dyDescent="0.55000000000000004">
      <c r="B35" s="74"/>
      <c r="C35" s="7" t="s">
        <v>482</v>
      </c>
      <c r="D35" s="11">
        <v>-7.53575819283465</v>
      </c>
      <c r="E35" s="11">
        <v>3.2509867091937799</v>
      </c>
      <c r="F35" s="25">
        <v>33.285570290260203</v>
      </c>
      <c r="G35" s="11">
        <v>-2.31799107991537</v>
      </c>
      <c r="H35" s="11">
        <v>0.11427300118555</v>
      </c>
      <c r="L35" s="1" t="s">
        <v>507</v>
      </c>
    </row>
    <row r="36" spans="2:12" x14ac:dyDescent="0.55000000000000004">
      <c r="B36" s="74"/>
      <c r="C36" s="7" t="s">
        <v>483</v>
      </c>
      <c r="D36" s="11">
        <v>-4.84297322003217</v>
      </c>
      <c r="E36" s="11">
        <v>3.2509867091937799</v>
      </c>
      <c r="F36" s="25">
        <v>33.285570290260203</v>
      </c>
      <c r="G36" s="11">
        <v>-1.4896933310542999</v>
      </c>
      <c r="H36" s="11">
        <v>0.45486260193858702</v>
      </c>
      <c r="L36" s="1" t="s">
        <v>508</v>
      </c>
    </row>
    <row r="37" spans="2:12" x14ac:dyDescent="0.55000000000000004">
      <c r="B37" s="74"/>
      <c r="C37" s="7" t="s">
        <v>484</v>
      </c>
      <c r="D37" s="11">
        <v>-4.0626462222756698</v>
      </c>
      <c r="E37" s="11">
        <v>3.2509867091937799</v>
      </c>
      <c r="F37" s="25">
        <v>33.285570290260203</v>
      </c>
      <c r="G37" s="11">
        <v>-1.24966558946135</v>
      </c>
      <c r="H37" s="11">
        <v>0.600486445552466</v>
      </c>
      <c r="L37" s="1" t="s">
        <v>509</v>
      </c>
    </row>
    <row r="38" spans="2:12" x14ac:dyDescent="0.55000000000000004">
      <c r="B38" s="74"/>
      <c r="C38" s="7" t="s">
        <v>485</v>
      </c>
      <c r="D38" s="11">
        <v>-1.3698612494731901</v>
      </c>
      <c r="E38" s="11">
        <v>3.2509867091937799</v>
      </c>
      <c r="F38" s="25">
        <v>33.285570290260203</v>
      </c>
      <c r="G38" s="11">
        <v>-0.42136784060027999</v>
      </c>
      <c r="H38" s="11">
        <v>0.97443290902741897</v>
      </c>
      <c r="L38" s="1" t="s">
        <v>510</v>
      </c>
    </row>
    <row r="39" spans="2:12" x14ac:dyDescent="0.55000000000000004">
      <c r="B39" s="80"/>
      <c r="C39" s="9" t="s">
        <v>486</v>
      </c>
      <c r="D39" s="12">
        <v>2.6927849728024702</v>
      </c>
      <c r="E39" s="12">
        <v>2.8566977642242399</v>
      </c>
      <c r="F39" s="34">
        <v>19</v>
      </c>
      <c r="G39" s="12">
        <v>0.94262158444812705</v>
      </c>
      <c r="H39" s="12">
        <v>0.78258892742524799</v>
      </c>
      <c r="L39" s="3" t="s">
        <v>505</v>
      </c>
    </row>
    <row r="41" spans="2:12" x14ac:dyDescent="0.55000000000000004">
      <c r="B41" s="1" t="s">
        <v>464</v>
      </c>
    </row>
    <row r="42" spans="2:12" x14ac:dyDescent="0.55000000000000004">
      <c r="B42" s="1" t="s">
        <v>86</v>
      </c>
    </row>
    <row r="45" spans="2:12" x14ac:dyDescent="0.55000000000000004">
      <c r="B45" s="1" t="s">
        <v>477</v>
      </c>
      <c r="C45" s="1" t="s">
        <v>84</v>
      </c>
      <c r="D45" s="1" t="s">
        <v>478</v>
      </c>
      <c r="E45" s="1" t="s">
        <v>85</v>
      </c>
      <c r="F45" s="1" t="s">
        <v>37</v>
      </c>
      <c r="G45" s="1" t="s">
        <v>479</v>
      </c>
      <c r="H45" s="1" t="s">
        <v>480</v>
      </c>
    </row>
    <row r="46" spans="2:12" x14ac:dyDescent="0.55000000000000004">
      <c r="B46" s="1" t="s">
        <v>80</v>
      </c>
      <c r="C46" s="1" t="s">
        <v>481</v>
      </c>
      <c r="D46" s="1">
        <v>-6.9062396121551003E-2</v>
      </c>
      <c r="E46" s="1">
        <v>0.15746145749347701</v>
      </c>
      <c r="F46" s="1">
        <v>19</v>
      </c>
      <c r="G46" s="1">
        <v>-0.438598735340754</v>
      </c>
      <c r="H46" s="1">
        <v>0.97100769171783896</v>
      </c>
    </row>
    <row r="47" spans="2:12" x14ac:dyDescent="0.55000000000000004">
      <c r="B47" s="1" t="s">
        <v>80</v>
      </c>
      <c r="C47" s="1" t="s">
        <v>482</v>
      </c>
      <c r="D47" s="1">
        <v>-0.39106710396841998</v>
      </c>
      <c r="E47" s="1">
        <v>0.21083861334450299</v>
      </c>
      <c r="F47" s="1">
        <v>35.454671506857402</v>
      </c>
      <c r="G47" s="1">
        <v>-1.8548172830629801</v>
      </c>
      <c r="H47" s="1">
        <v>0.26556968475672299</v>
      </c>
    </row>
    <row r="48" spans="2:12" x14ac:dyDescent="0.55000000000000004">
      <c r="B48" s="1" t="s">
        <v>80</v>
      </c>
      <c r="C48" s="1" t="s">
        <v>483</v>
      </c>
      <c r="D48" s="1">
        <v>5.3509802171904798E-2</v>
      </c>
      <c r="E48" s="1">
        <v>0.21083861334450399</v>
      </c>
      <c r="F48" s="1">
        <v>35.454671506857402</v>
      </c>
      <c r="G48" s="1">
        <v>0.25379507730147699</v>
      </c>
      <c r="H48" s="1">
        <v>0.99415968689434797</v>
      </c>
    </row>
    <row r="49" spans="2:8" x14ac:dyDescent="0.55000000000000004">
      <c r="B49" s="1" t="s">
        <v>80</v>
      </c>
      <c r="C49" s="1" t="s">
        <v>484</v>
      </c>
      <c r="D49" s="1">
        <v>-0.32200470784686902</v>
      </c>
      <c r="E49" s="1">
        <v>0.21083861334450399</v>
      </c>
      <c r="F49" s="1">
        <v>35.454671506857402</v>
      </c>
      <c r="G49" s="1">
        <v>-1.52725680907758</v>
      </c>
      <c r="H49" s="1">
        <v>0.43244232901096702</v>
      </c>
    </row>
    <row r="50" spans="2:8" x14ac:dyDescent="0.55000000000000004">
      <c r="B50" s="1" t="s">
        <v>80</v>
      </c>
      <c r="C50" s="1" t="s">
        <v>485</v>
      </c>
      <c r="D50" s="1">
        <v>0.122572198293455</v>
      </c>
      <c r="E50" s="1">
        <v>0.21083861334450399</v>
      </c>
      <c r="F50" s="1">
        <v>35.454671506857402</v>
      </c>
      <c r="G50" s="1">
        <v>0.58135555128688099</v>
      </c>
      <c r="H50" s="1">
        <v>0.93703846066674101</v>
      </c>
    </row>
    <row r="51" spans="2:8" x14ac:dyDescent="0.55000000000000004">
      <c r="B51" s="1" t="s">
        <v>80</v>
      </c>
      <c r="C51" s="1" t="s">
        <v>486</v>
      </c>
      <c r="D51" s="1">
        <v>0.44457690614032502</v>
      </c>
      <c r="E51" s="1">
        <v>0.20072476109949999</v>
      </c>
      <c r="F51" s="1">
        <v>19</v>
      </c>
      <c r="G51" s="1">
        <v>2.2148583149636698</v>
      </c>
      <c r="H51" s="1">
        <v>0.15502652660289601</v>
      </c>
    </row>
    <row r="52" spans="2:8" x14ac:dyDescent="0.55000000000000004">
      <c r="B52" s="1" t="s">
        <v>487</v>
      </c>
      <c r="C52" s="1" t="s">
        <v>481</v>
      </c>
      <c r="D52" s="1">
        <v>-4.7191011076394798E-2</v>
      </c>
      <c r="E52" s="1">
        <v>3.87456256679269E-2</v>
      </c>
      <c r="F52" s="1">
        <v>19</v>
      </c>
      <c r="G52" s="1">
        <v>-1.21797003565898</v>
      </c>
      <c r="H52" s="1">
        <v>0.623438670397788</v>
      </c>
    </row>
    <row r="53" spans="2:8" x14ac:dyDescent="0.55000000000000004">
      <c r="B53" s="1" t="s">
        <v>487</v>
      </c>
      <c r="C53" s="1" t="s">
        <v>482</v>
      </c>
      <c r="D53" s="1">
        <v>-2.2988579896997301E-2</v>
      </c>
      <c r="E53" s="1">
        <v>4.7224459538560602E-2</v>
      </c>
      <c r="F53" s="1">
        <v>37.491232867426902</v>
      </c>
      <c r="G53" s="1">
        <v>-0.48679392250590597</v>
      </c>
      <c r="H53" s="1">
        <v>0.961563711983626</v>
      </c>
    </row>
    <row r="54" spans="2:8" x14ac:dyDescent="0.55000000000000004">
      <c r="B54" s="1" t="s">
        <v>487</v>
      </c>
      <c r="C54" s="1" t="s">
        <v>483</v>
      </c>
      <c r="D54" s="1">
        <v>4.2992940803116102E-2</v>
      </c>
      <c r="E54" s="1">
        <v>4.7224459538560602E-2</v>
      </c>
      <c r="F54" s="1">
        <v>37.491232867427001</v>
      </c>
      <c r="G54" s="1">
        <v>0.91039561327347196</v>
      </c>
      <c r="H54" s="1">
        <v>0.79942089835800001</v>
      </c>
    </row>
    <row r="55" spans="2:8" x14ac:dyDescent="0.55000000000000004">
      <c r="B55" s="1" t="s">
        <v>487</v>
      </c>
      <c r="C55" s="1" t="s">
        <v>484</v>
      </c>
      <c r="D55" s="1">
        <v>2.42024311793974E-2</v>
      </c>
      <c r="E55" s="1">
        <v>4.7224459538560498E-2</v>
      </c>
      <c r="F55" s="1">
        <v>37.491232867427001</v>
      </c>
      <c r="G55" s="1">
        <v>0.51249779067635903</v>
      </c>
      <c r="H55" s="1">
        <v>0.95559947563236203</v>
      </c>
    </row>
    <row r="56" spans="2:8" x14ac:dyDescent="0.55000000000000004">
      <c r="B56" s="1" t="s">
        <v>487</v>
      </c>
      <c r="C56" s="1" t="s">
        <v>485</v>
      </c>
      <c r="D56" s="1">
        <v>9.0183951879511004E-2</v>
      </c>
      <c r="E56" s="1">
        <v>4.7224459538560498E-2</v>
      </c>
      <c r="F56" s="1">
        <v>37.491232867427001</v>
      </c>
      <c r="G56" s="1">
        <v>1.9096873264557299</v>
      </c>
      <c r="H56" s="1">
        <v>0.24135498612998199</v>
      </c>
    </row>
    <row r="57" spans="2:8" x14ac:dyDescent="0.55000000000000004">
      <c r="B57" s="1" t="s">
        <v>487</v>
      </c>
      <c r="C57" s="1" t="s">
        <v>486</v>
      </c>
      <c r="D57" s="1">
        <v>6.5981520700113497E-2</v>
      </c>
      <c r="E57" s="1">
        <v>4.9391175336780203E-2</v>
      </c>
      <c r="F57" s="1">
        <v>19</v>
      </c>
      <c r="G57" s="1">
        <v>1.3358969542678301</v>
      </c>
      <c r="H57" s="1">
        <v>0.55251952952679795</v>
      </c>
    </row>
    <row r="58" spans="2:8" x14ac:dyDescent="0.55000000000000004">
      <c r="B58" s="1" t="s">
        <v>488</v>
      </c>
      <c r="C58" s="1" t="s">
        <v>481</v>
      </c>
      <c r="D58" s="1">
        <v>-7.7709843652322298E-3</v>
      </c>
      <c r="E58" s="1">
        <v>2.9842812924167898E-2</v>
      </c>
      <c r="F58" s="1">
        <v>19</v>
      </c>
      <c r="G58" s="1">
        <v>-0.26039718122345501</v>
      </c>
      <c r="H58" s="1">
        <v>0.99360187168156699</v>
      </c>
    </row>
    <row r="59" spans="2:8" x14ac:dyDescent="0.55000000000000004">
      <c r="B59" s="1" t="s">
        <v>488</v>
      </c>
      <c r="C59" s="1" t="s">
        <v>482</v>
      </c>
      <c r="D59" s="1">
        <v>-4.0055569937918201E-2</v>
      </c>
      <c r="E59" s="1">
        <v>3.5200362487224003E-2</v>
      </c>
      <c r="F59" s="1">
        <v>37.878548352088799</v>
      </c>
      <c r="G59" s="1">
        <v>-1.1379306094491599</v>
      </c>
      <c r="H59" s="1">
        <v>0.66874107493503898</v>
      </c>
    </row>
    <row r="60" spans="2:8" x14ac:dyDescent="0.55000000000000004">
      <c r="B60" s="1" t="s">
        <v>488</v>
      </c>
      <c r="C60" s="1" t="s">
        <v>483</v>
      </c>
      <c r="D60" s="1">
        <v>4.4853366884298397E-2</v>
      </c>
      <c r="E60" s="1">
        <v>3.5200362487224003E-2</v>
      </c>
      <c r="F60" s="1">
        <v>37.8785483520887</v>
      </c>
      <c r="G60" s="1">
        <v>1.2742302554576801</v>
      </c>
      <c r="H60" s="1">
        <v>0.58460457099076302</v>
      </c>
    </row>
    <row r="61" spans="2:8" x14ac:dyDescent="0.55000000000000004">
      <c r="B61" s="1" t="s">
        <v>488</v>
      </c>
      <c r="C61" s="1" t="s">
        <v>484</v>
      </c>
      <c r="D61" s="1">
        <v>-3.2284585572685903E-2</v>
      </c>
      <c r="E61" s="1">
        <v>3.5200362487224003E-2</v>
      </c>
      <c r="F61" s="1">
        <v>37.8785483520887</v>
      </c>
      <c r="G61" s="1">
        <v>-0.917166281580301</v>
      </c>
      <c r="H61" s="1">
        <v>0.79584466402171405</v>
      </c>
    </row>
    <row r="62" spans="2:8" x14ac:dyDescent="0.55000000000000004">
      <c r="B62" s="1" t="s">
        <v>488</v>
      </c>
      <c r="C62" s="1" t="s">
        <v>485</v>
      </c>
      <c r="D62" s="1">
        <v>5.2624351249530597E-2</v>
      </c>
      <c r="E62" s="1">
        <v>3.5200362487224003E-2</v>
      </c>
      <c r="F62" s="1">
        <v>37.8785483520887</v>
      </c>
      <c r="G62" s="1">
        <v>1.4949945833265399</v>
      </c>
      <c r="H62" s="1">
        <v>0.45045044441925802</v>
      </c>
    </row>
    <row r="63" spans="2:8" x14ac:dyDescent="0.55000000000000004">
      <c r="B63" s="1" t="s">
        <v>488</v>
      </c>
      <c r="C63" s="1" t="s">
        <v>486</v>
      </c>
      <c r="D63" s="1">
        <v>8.4908936822216605E-2</v>
      </c>
      <c r="E63" s="1">
        <v>3.8042271360207797E-2</v>
      </c>
      <c r="F63" s="1">
        <v>19</v>
      </c>
      <c r="G63" s="1">
        <v>2.2319628609513402</v>
      </c>
      <c r="H63" s="1">
        <v>0.15043761134561801</v>
      </c>
    </row>
    <row r="64" spans="2:8" x14ac:dyDescent="0.55000000000000004">
      <c r="B64" s="1" t="s">
        <v>489</v>
      </c>
      <c r="C64" s="1" t="s">
        <v>481</v>
      </c>
      <c r="D64" s="1">
        <v>-0.66174257591353502</v>
      </c>
      <c r="E64" s="1">
        <v>2.4640979498953799</v>
      </c>
      <c r="F64" s="1">
        <v>18.999999999999901</v>
      </c>
      <c r="G64" s="1">
        <v>-0.26855368145638397</v>
      </c>
      <c r="H64" s="1">
        <v>0.99299461771556896</v>
      </c>
    </row>
    <row r="65" spans="2:8" x14ac:dyDescent="0.55000000000000004">
      <c r="B65" s="1" t="s">
        <v>489</v>
      </c>
      <c r="C65" s="1" t="s">
        <v>482</v>
      </c>
      <c r="D65" s="1">
        <v>-5.2320540394218797</v>
      </c>
      <c r="E65" s="1">
        <v>3.27495080173472</v>
      </c>
      <c r="F65" s="1">
        <v>35.646137160024402</v>
      </c>
      <c r="G65" s="1">
        <v>-1.5975977522014899</v>
      </c>
      <c r="H65" s="1">
        <v>0.39286391363163298</v>
      </c>
    </row>
    <row r="66" spans="2:8" x14ac:dyDescent="0.55000000000000004">
      <c r="B66" s="1" t="s">
        <v>489</v>
      </c>
      <c r="C66" s="1" t="s">
        <v>483</v>
      </c>
      <c r="D66" s="1">
        <v>0.10801444607810699</v>
      </c>
      <c r="E66" s="1">
        <v>3.27495080173472</v>
      </c>
      <c r="F66" s="1">
        <v>35.646137160024502</v>
      </c>
      <c r="G66" s="1">
        <v>3.2982005720785898E-2</v>
      </c>
      <c r="H66" s="1">
        <v>0.99998685033863999</v>
      </c>
    </row>
    <row r="67" spans="2:8" x14ac:dyDescent="0.55000000000000004">
      <c r="B67" s="1" t="s">
        <v>489</v>
      </c>
      <c r="C67" s="1" t="s">
        <v>484</v>
      </c>
      <c r="D67" s="1">
        <v>-4.5703114635083502</v>
      </c>
      <c r="E67" s="1">
        <v>3.27495080173472</v>
      </c>
      <c r="F67" s="1">
        <v>35.646137160024502</v>
      </c>
      <c r="G67" s="1">
        <v>-1.3955359149479301</v>
      </c>
      <c r="H67" s="1">
        <v>0.51034161485391405</v>
      </c>
    </row>
    <row r="68" spans="2:8" x14ac:dyDescent="0.55000000000000004">
      <c r="B68" s="1" t="s">
        <v>489</v>
      </c>
      <c r="C68" s="1" t="s">
        <v>485</v>
      </c>
      <c r="D68" s="1">
        <v>0.76975702199164198</v>
      </c>
      <c r="E68" s="1">
        <v>3.27495080173472</v>
      </c>
      <c r="F68" s="1">
        <v>35.646137160024502</v>
      </c>
      <c r="G68" s="1">
        <v>0.235043842974345</v>
      </c>
      <c r="H68" s="1">
        <v>0.99534416164256001</v>
      </c>
    </row>
    <row r="69" spans="2:8" x14ac:dyDescent="0.55000000000000004">
      <c r="B69" s="1" t="s">
        <v>489</v>
      </c>
      <c r="C69" s="1" t="s">
        <v>486</v>
      </c>
      <c r="D69" s="1">
        <v>5.34006848549999</v>
      </c>
      <c r="E69" s="1">
        <v>3.1411208824801302</v>
      </c>
      <c r="F69" s="1">
        <v>19</v>
      </c>
      <c r="G69" s="1">
        <v>1.70005188761905</v>
      </c>
      <c r="H69" s="1">
        <v>0.35094387254699599</v>
      </c>
    </row>
    <row r="70" spans="2:8" x14ac:dyDescent="0.55000000000000004">
      <c r="B70" s="1" t="s">
        <v>490</v>
      </c>
      <c r="C70" s="1" t="s">
        <v>481</v>
      </c>
      <c r="D70" s="1">
        <v>-1.0174494791242E-2</v>
      </c>
      <c r="E70" s="1">
        <v>3.0109659825284799E-2</v>
      </c>
      <c r="F70" s="1">
        <v>18.999999999999901</v>
      </c>
      <c r="G70" s="1">
        <v>-0.33791463770367303</v>
      </c>
      <c r="H70" s="1">
        <v>0.98629337615628199</v>
      </c>
    </row>
    <row r="71" spans="2:8" x14ac:dyDescent="0.55000000000000004">
      <c r="B71" s="1" t="s">
        <v>490</v>
      </c>
      <c r="C71" s="1" t="s">
        <v>482</v>
      </c>
      <c r="D71" s="1">
        <v>-3.9243498999077302E-2</v>
      </c>
      <c r="E71" s="1">
        <v>3.5472585181887999E-2</v>
      </c>
      <c r="F71" s="1">
        <v>37.888035961430496</v>
      </c>
      <c r="G71" s="1">
        <v>-1.1063050183079</v>
      </c>
      <c r="H71" s="1">
        <v>0.68790617537788901</v>
      </c>
    </row>
    <row r="72" spans="2:8" x14ac:dyDescent="0.55000000000000004">
      <c r="B72" s="1" t="s">
        <v>490</v>
      </c>
      <c r="C72" s="1" t="s">
        <v>483</v>
      </c>
      <c r="D72" s="1">
        <v>4.4940970026247397E-2</v>
      </c>
      <c r="E72" s="1">
        <v>3.5472585181887999E-2</v>
      </c>
      <c r="F72" s="1">
        <v>37.888035961430496</v>
      </c>
      <c r="G72" s="1">
        <v>1.26692119550378</v>
      </c>
      <c r="H72" s="1">
        <v>0.58913982393188702</v>
      </c>
    </row>
    <row r="73" spans="2:8" x14ac:dyDescent="0.55000000000000004">
      <c r="B73" s="1" t="s">
        <v>490</v>
      </c>
      <c r="C73" s="1" t="s">
        <v>484</v>
      </c>
      <c r="D73" s="1">
        <v>-2.90690042078353E-2</v>
      </c>
      <c r="E73" s="1">
        <v>3.5472585181887999E-2</v>
      </c>
      <c r="F73" s="1">
        <v>37.888035961430397</v>
      </c>
      <c r="G73" s="1">
        <v>-0.81947802954823001</v>
      </c>
      <c r="H73" s="1">
        <v>0.84489085603009095</v>
      </c>
    </row>
    <row r="74" spans="2:8" x14ac:dyDescent="0.55000000000000004">
      <c r="B74" s="1" t="s">
        <v>490</v>
      </c>
      <c r="C74" s="1" t="s">
        <v>485</v>
      </c>
      <c r="D74" s="1">
        <v>5.5115464817489399E-2</v>
      </c>
      <c r="E74" s="1">
        <v>3.5472585181887999E-2</v>
      </c>
      <c r="F74" s="1">
        <v>37.888035961430397</v>
      </c>
      <c r="G74" s="1">
        <v>1.55374818426345</v>
      </c>
      <c r="H74" s="1">
        <v>0.41661803734855302</v>
      </c>
    </row>
    <row r="75" spans="2:8" x14ac:dyDescent="0.55000000000000004">
      <c r="B75" s="1" t="s">
        <v>490</v>
      </c>
      <c r="C75" s="1" t="s">
        <v>486</v>
      </c>
      <c r="D75" s="1">
        <v>8.4184469025324796E-2</v>
      </c>
      <c r="E75" s="1">
        <v>3.8382435749192097E-2</v>
      </c>
      <c r="F75" s="1">
        <v>19</v>
      </c>
      <c r="G75" s="1">
        <v>2.1933071047242398</v>
      </c>
      <c r="H75" s="1">
        <v>0.160970430564703</v>
      </c>
    </row>
    <row r="76" spans="2:8" x14ac:dyDescent="0.55000000000000004">
      <c r="B76" s="1" t="s">
        <v>491</v>
      </c>
      <c r="C76" s="1" t="s">
        <v>481</v>
      </c>
      <c r="D76" s="1">
        <v>-3.4731119705589699</v>
      </c>
      <c r="E76" s="1">
        <v>2.24097809911019</v>
      </c>
      <c r="F76" s="1">
        <v>19</v>
      </c>
      <c r="G76" s="1">
        <v>-1.54981968451097</v>
      </c>
      <c r="H76" s="1">
        <v>0.42921223254167401</v>
      </c>
    </row>
    <row r="77" spans="2:8" x14ac:dyDescent="0.55000000000000004">
      <c r="B77" s="1" t="s">
        <v>491</v>
      </c>
      <c r="C77" s="1" t="s">
        <v>482</v>
      </c>
      <c r="D77" s="1">
        <v>-7.53575819283465</v>
      </c>
      <c r="E77" s="1">
        <v>3.2509867091937799</v>
      </c>
      <c r="F77" s="1">
        <v>33.285570290260203</v>
      </c>
      <c r="G77" s="1">
        <v>-2.31799107991537</v>
      </c>
      <c r="H77" s="1">
        <v>0.11427300118555</v>
      </c>
    </row>
    <row r="78" spans="2:8" x14ac:dyDescent="0.55000000000000004">
      <c r="B78" s="1" t="s">
        <v>491</v>
      </c>
      <c r="C78" s="1" t="s">
        <v>483</v>
      </c>
      <c r="D78" s="1">
        <v>-4.84297322003217</v>
      </c>
      <c r="E78" s="1">
        <v>3.2509867091937799</v>
      </c>
      <c r="F78" s="1">
        <v>33.285570290260203</v>
      </c>
      <c r="G78" s="1">
        <v>-1.4896933310542999</v>
      </c>
      <c r="H78" s="1">
        <v>0.45486260193858702</v>
      </c>
    </row>
    <row r="79" spans="2:8" x14ac:dyDescent="0.55000000000000004">
      <c r="B79" s="1" t="s">
        <v>491</v>
      </c>
      <c r="C79" s="1" t="s">
        <v>484</v>
      </c>
      <c r="D79" s="1">
        <v>-4.0626462222756698</v>
      </c>
      <c r="E79" s="1">
        <v>3.2509867091937799</v>
      </c>
      <c r="F79" s="1">
        <v>33.285570290260203</v>
      </c>
      <c r="G79" s="1">
        <v>-1.24966558946135</v>
      </c>
      <c r="H79" s="1">
        <v>0.600486445552466</v>
      </c>
    </row>
    <row r="80" spans="2:8" x14ac:dyDescent="0.55000000000000004">
      <c r="B80" s="1" t="s">
        <v>491</v>
      </c>
      <c r="C80" s="1" t="s">
        <v>485</v>
      </c>
      <c r="D80" s="1">
        <v>-1.3698612494731901</v>
      </c>
      <c r="E80" s="1">
        <v>3.2509867091937799</v>
      </c>
      <c r="F80" s="1">
        <v>33.285570290260203</v>
      </c>
      <c r="G80" s="1">
        <v>-0.42136784060027999</v>
      </c>
      <c r="H80" s="1">
        <v>0.97443290902741897</v>
      </c>
    </row>
    <row r="81" spans="2:8" x14ac:dyDescent="0.55000000000000004">
      <c r="B81" s="1" t="s">
        <v>491</v>
      </c>
      <c r="C81" s="1" t="s">
        <v>486</v>
      </c>
      <c r="D81" s="1">
        <v>2.6927849728024702</v>
      </c>
      <c r="E81" s="1">
        <v>2.8566977642242399</v>
      </c>
      <c r="F81" s="1">
        <v>19</v>
      </c>
      <c r="G81" s="1">
        <v>0.94262158444812705</v>
      </c>
      <c r="H81" s="1">
        <v>0.78258892742524799</v>
      </c>
    </row>
  </sheetData>
  <mergeCells count="6">
    <mergeCell ref="B4:B9"/>
    <mergeCell ref="B16:B21"/>
    <mergeCell ref="B22:B27"/>
    <mergeCell ref="B28:B33"/>
    <mergeCell ref="B34:B39"/>
    <mergeCell ref="B10:B1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66C182-3F29-4C2A-8D07-2835F9ACEEBC}">
  <dimension ref="B3:H16"/>
  <sheetViews>
    <sheetView workbookViewId="0">
      <selection activeCell="B3" sqref="B3"/>
    </sheetView>
  </sheetViews>
  <sheetFormatPr defaultRowHeight="15.3" x14ac:dyDescent="0.55000000000000004"/>
  <cols>
    <col min="1" max="1" width="8.83984375" style="7"/>
    <col min="2" max="2" width="9" style="7" customWidth="1"/>
    <col min="3" max="3" width="35.47265625" style="7" customWidth="1"/>
    <col min="4" max="4" width="18.26171875" style="7" customWidth="1"/>
    <col min="5" max="8" width="8.3125" style="7" customWidth="1"/>
    <col min="9" max="16384" width="8.83984375" style="7"/>
  </cols>
  <sheetData>
    <row r="3" spans="2:8" x14ac:dyDescent="0.55000000000000004">
      <c r="B3" s="9" t="s">
        <v>524</v>
      </c>
      <c r="C3" s="9"/>
      <c r="D3" s="9"/>
      <c r="E3" s="9"/>
      <c r="F3" s="9"/>
      <c r="G3" s="9"/>
      <c r="H3" s="9"/>
    </row>
    <row r="4" spans="2:8" x14ac:dyDescent="0.55000000000000004">
      <c r="B4" s="14" t="s">
        <v>28</v>
      </c>
      <c r="C4" s="13" t="s">
        <v>166</v>
      </c>
      <c r="D4" s="17" t="s">
        <v>165</v>
      </c>
      <c r="E4" s="14" t="s">
        <v>85</v>
      </c>
      <c r="F4" s="14" t="s">
        <v>37</v>
      </c>
      <c r="G4" s="14" t="s">
        <v>193</v>
      </c>
      <c r="H4" s="15" t="s">
        <v>30</v>
      </c>
    </row>
    <row r="5" spans="2:8" x14ac:dyDescent="0.55000000000000004">
      <c r="B5" s="77" t="s">
        <v>470</v>
      </c>
      <c r="C5" s="7" t="s">
        <v>481</v>
      </c>
      <c r="D5" s="2">
        <v>-6.19</v>
      </c>
      <c r="E5" s="37">
        <v>11.1</v>
      </c>
      <c r="F5" s="37">
        <v>19</v>
      </c>
      <c r="G5" s="11">
        <v>-0.55900000000000005</v>
      </c>
      <c r="H5" s="11">
        <v>0.94289999999999996</v>
      </c>
    </row>
    <row r="6" spans="2:8" x14ac:dyDescent="0.55000000000000004">
      <c r="B6" s="75"/>
      <c r="C6" s="56" t="s">
        <v>482</v>
      </c>
      <c r="D6" s="60">
        <v>-42.24</v>
      </c>
      <c r="E6" s="62">
        <v>13.1</v>
      </c>
      <c r="F6" s="62">
        <v>37.9</v>
      </c>
      <c r="G6" s="26">
        <v>-3.2360000000000002</v>
      </c>
      <c r="H6" s="26">
        <v>1.29E-2</v>
      </c>
    </row>
    <row r="7" spans="2:8" x14ac:dyDescent="0.55000000000000004">
      <c r="B7" s="75"/>
      <c r="C7" s="7" t="s">
        <v>483</v>
      </c>
      <c r="D7" s="2">
        <v>-23.23</v>
      </c>
      <c r="E7" s="37">
        <v>13.1</v>
      </c>
      <c r="F7" s="37">
        <v>37.9</v>
      </c>
      <c r="G7" s="11">
        <v>-1.78</v>
      </c>
      <c r="H7" s="11">
        <v>0.29870000000000002</v>
      </c>
    </row>
    <row r="8" spans="2:8" x14ac:dyDescent="0.55000000000000004">
      <c r="B8" s="75"/>
      <c r="C8" s="56" t="s">
        <v>484</v>
      </c>
      <c r="D8" s="60">
        <v>-36.049999999999997</v>
      </c>
      <c r="E8" s="62">
        <v>13.1</v>
      </c>
      <c r="F8" s="62">
        <v>37.9</v>
      </c>
      <c r="G8" s="26">
        <v>-2.762</v>
      </c>
      <c r="H8" s="26">
        <v>4.2000000000000003E-2</v>
      </c>
    </row>
    <row r="9" spans="2:8" x14ac:dyDescent="0.55000000000000004">
      <c r="B9" s="75"/>
      <c r="C9" s="7" t="s">
        <v>485</v>
      </c>
      <c r="D9" s="2">
        <v>-17.04</v>
      </c>
      <c r="E9" s="37">
        <v>13.1</v>
      </c>
      <c r="F9" s="37">
        <v>37.9</v>
      </c>
      <c r="G9" s="11">
        <v>-1.3049999999999999</v>
      </c>
      <c r="H9" s="11">
        <v>0.56520000000000004</v>
      </c>
    </row>
    <row r="10" spans="2:8" x14ac:dyDescent="0.55000000000000004">
      <c r="B10" s="75"/>
      <c r="C10" s="7" t="s">
        <v>486</v>
      </c>
      <c r="D10" s="2">
        <v>19.010000000000002</v>
      </c>
      <c r="E10" s="37">
        <v>14.1</v>
      </c>
      <c r="F10" s="37">
        <v>19</v>
      </c>
      <c r="G10" s="11">
        <v>1.3480000000000001</v>
      </c>
      <c r="H10" s="11">
        <v>0.54559999999999997</v>
      </c>
    </row>
    <row r="11" spans="2:8" x14ac:dyDescent="0.55000000000000004">
      <c r="B11" s="75" t="s">
        <v>471</v>
      </c>
      <c r="C11" s="7" t="s">
        <v>481</v>
      </c>
      <c r="D11" s="2">
        <v>-4.25</v>
      </c>
      <c r="E11" s="37">
        <v>9.9600000000000009</v>
      </c>
      <c r="F11" s="37">
        <v>19</v>
      </c>
      <c r="G11" s="11">
        <v>-0.42699999999999999</v>
      </c>
      <c r="H11" s="11">
        <v>0.97309999999999997</v>
      </c>
    </row>
    <row r="12" spans="2:8" x14ac:dyDescent="0.55000000000000004">
      <c r="B12" s="75"/>
      <c r="C12" s="56" t="s">
        <v>482</v>
      </c>
      <c r="D12" s="60">
        <v>-42.1</v>
      </c>
      <c r="E12" s="62">
        <v>12.7</v>
      </c>
      <c r="F12" s="62">
        <v>36.6</v>
      </c>
      <c r="G12" s="26">
        <v>-3.3170000000000002</v>
      </c>
      <c r="H12" s="26">
        <v>1.06E-2</v>
      </c>
    </row>
    <row r="13" spans="2:8" x14ac:dyDescent="0.55000000000000004">
      <c r="B13" s="75"/>
      <c r="C13" s="7" t="s">
        <v>483</v>
      </c>
      <c r="D13" s="2">
        <v>-26.13</v>
      </c>
      <c r="E13" s="37">
        <v>12.7</v>
      </c>
      <c r="F13" s="37">
        <v>36.6</v>
      </c>
      <c r="G13" s="11">
        <v>-2.0590000000000002</v>
      </c>
      <c r="H13" s="11">
        <v>0.18579999999999999</v>
      </c>
    </row>
    <row r="14" spans="2:8" x14ac:dyDescent="0.55000000000000004">
      <c r="B14" s="75"/>
      <c r="C14" s="56" t="s">
        <v>484</v>
      </c>
      <c r="D14" s="60">
        <v>-37.85</v>
      </c>
      <c r="E14" s="62">
        <v>12.7</v>
      </c>
      <c r="F14" s="62">
        <v>36.6</v>
      </c>
      <c r="G14" s="26">
        <v>-2.9820000000000002</v>
      </c>
      <c r="H14" s="26">
        <v>2.5000000000000001E-2</v>
      </c>
    </row>
    <row r="15" spans="2:8" x14ac:dyDescent="0.55000000000000004">
      <c r="B15" s="75"/>
      <c r="C15" s="7" t="s">
        <v>485</v>
      </c>
      <c r="D15" s="2">
        <v>-21.88</v>
      </c>
      <c r="E15" s="37">
        <v>12.7</v>
      </c>
      <c r="F15" s="37">
        <v>36.6</v>
      </c>
      <c r="G15" s="11">
        <v>-1.724</v>
      </c>
      <c r="H15" s="11">
        <v>0.32629999999999998</v>
      </c>
    </row>
    <row r="16" spans="2:8" x14ac:dyDescent="0.55000000000000004">
      <c r="B16" s="76"/>
      <c r="C16" s="9" t="s">
        <v>486</v>
      </c>
      <c r="D16" s="4">
        <v>15.97</v>
      </c>
      <c r="E16" s="38">
        <v>12.7</v>
      </c>
      <c r="F16" s="38">
        <v>19</v>
      </c>
      <c r="G16" s="12">
        <v>1.258</v>
      </c>
      <c r="H16" s="12">
        <v>0.59950000000000003</v>
      </c>
    </row>
  </sheetData>
  <mergeCells count="2">
    <mergeCell ref="B5:B10"/>
    <mergeCell ref="B11:B1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6A01F3-82D5-4510-BA7F-F694678E8A08}">
  <dimension ref="B2:G13"/>
  <sheetViews>
    <sheetView workbookViewId="0">
      <selection activeCell="B2" sqref="B2:G7"/>
    </sheetView>
  </sheetViews>
  <sheetFormatPr defaultRowHeight="15.3" x14ac:dyDescent="0.55000000000000004"/>
  <cols>
    <col min="1" max="1" width="13.47265625" style="1" customWidth="1"/>
    <col min="2" max="2" width="12.15625" style="1" customWidth="1"/>
    <col min="3" max="3" width="6.1015625" style="1" bestFit="1" customWidth="1"/>
    <col min="4" max="5" width="12.05078125" style="1" customWidth="1"/>
    <col min="6" max="6" width="14" style="1" customWidth="1"/>
    <col min="7" max="16384" width="8.83984375" style="1"/>
  </cols>
  <sheetData>
    <row r="2" spans="2:7" x14ac:dyDescent="0.55000000000000004">
      <c r="B2" s="1" t="s">
        <v>546</v>
      </c>
    </row>
    <row r="3" spans="2:7" x14ac:dyDescent="0.55000000000000004">
      <c r="B3" s="40" t="s">
        <v>58</v>
      </c>
      <c r="C3" s="39" t="s">
        <v>278</v>
      </c>
      <c r="D3" s="39" t="s">
        <v>123</v>
      </c>
      <c r="E3" s="39" t="s">
        <v>59</v>
      </c>
      <c r="F3" s="39" t="s">
        <v>124</v>
      </c>
      <c r="G3" s="41" t="s">
        <v>30</v>
      </c>
    </row>
    <row r="4" spans="2:7" x14ac:dyDescent="0.55000000000000004">
      <c r="B4" s="7" t="s">
        <v>9</v>
      </c>
      <c r="C4" s="2">
        <v>1</v>
      </c>
      <c r="D4" s="11">
        <v>5.5999999999999999E-3</v>
      </c>
      <c r="E4" s="11">
        <v>5.5989999999999998E-3</v>
      </c>
      <c r="F4" s="2">
        <v>1.4750000000000001</v>
      </c>
      <c r="G4" s="2">
        <v>0.23200000000000001</v>
      </c>
    </row>
    <row r="5" spans="2:7" x14ac:dyDescent="0.55000000000000004">
      <c r="B5" s="7" t="s">
        <v>0</v>
      </c>
      <c r="C5" s="2">
        <v>1</v>
      </c>
      <c r="D5" s="11">
        <v>3.2000000000000003E-4</v>
      </c>
      <c r="E5" s="11">
        <v>3.1799999999999998E-4</v>
      </c>
      <c r="F5" s="2">
        <v>8.4000000000000005E-2</v>
      </c>
      <c r="G5" s="2">
        <v>0.77400000000000002</v>
      </c>
    </row>
    <row r="6" spans="2:7" x14ac:dyDescent="0.55000000000000004">
      <c r="B6" s="7" t="s">
        <v>525</v>
      </c>
      <c r="C6" s="2">
        <v>1</v>
      </c>
      <c r="D6" s="11">
        <v>5.1799999999999997E-3</v>
      </c>
      <c r="E6" s="11">
        <v>5.1749999999999999E-3</v>
      </c>
      <c r="F6" s="2">
        <v>1.363</v>
      </c>
      <c r="G6" s="11">
        <v>0.25</v>
      </c>
    </row>
    <row r="7" spans="2:7" x14ac:dyDescent="0.55000000000000004">
      <c r="B7" s="9" t="s">
        <v>279</v>
      </c>
      <c r="C7" s="4">
        <v>38</v>
      </c>
      <c r="D7" s="12">
        <v>0.14424000000000001</v>
      </c>
      <c r="E7" s="12">
        <v>3.7959999999999999E-3</v>
      </c>
      <c r="F7" s="4"/>
      <c r="G7" s="4"/>
    </row>
    <row r="10" spans="2:7" x14ac:dyDescent="0.55000000000000004">
      <c r="B10" s="1" t="s">
        <v>465</v>
      </c>
    </row>
    <row r="13" spans="2:7" x14ac:dyDescent="0.55000000000000004">
      <c r="B13" s="1" t="s">
        <v>526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5BFB1-BBA8-4D5F-8891-D000C219705E}">
  <dimension ref="B2:T30"/>
  <sheetViews>
    <sheetView workbookViewId="0">
      <selection activeCell="H4" sqref="H4"/>
    </sheetView>
  </sheetViews>
  <sheetFormatPr defaultRowHeight="15.3" x14ac:dyDescent="0.55000000000000004"/>
  <cols>
    <col min="1" max="1" width="8.83984375" style="1"/>
    <col min="2" max="2" width="15.578125" style="1" customWidth="1"/>
    <col min="3" max="3" width="11.20703125" style="1" customWidth="1"/>
    <col min="4" max="4" width="6.89453125" style="1" customWidth="1"/>
    <col min="5" max="5" width="13.9453125" style="1" customWidth="1"/>
    <col min="6" max="6" width="10.3125" style="1" customWidth="1"/>
    <col min="7" max="16384" width="8.83984375" style="1"/>
  </cols>
  <sheetData>
    <row r="2" spans="2:20" x14ac:dyDescent="0.55000000000000004">
      <c r="B2" s="1" t="s">
        <v>547</v>
      </c>
      <c r="N2" s="2"/>
      <c r="O2" s="42"/>
      <c r="P2" s="11" t="s">
        <v>282</v>
      </c>
      <c r="Q2" s="1" t="s">
        <v>278</v>
      </c>
      <c r="R2" s="1" t="s">
        <v>283</v>
      </c>
    </row>
    <row r="3" spans="2:20" x14ac:dyDescent="0.55000000000000004">
      <c r="B3" s="45"/>
      <c r="C3" s="78" t="s">
        <v>117</v>
      </c>
      <c r="D3" s="78"/>
      <c r="E3" s="78"/>
      <c r="F3" s="78" t="s">
        <v>118</v>
      </c>
      <c r="G3" s="78"/>
      <c r="N3" s="2"/>
      <c r="O3" s="43" t="s">
        <v>38</v>
      </c>
      <c r="P3" s="11">
        <v>222.2791</v>
      </c>
      <c r="Q3" s="1">
        <v>1</v>
      </c>
      <c r="R3" s="1" t="s">
        <v>284</v>
      </c>
      <c r="S3" s="1" t="s">
        <v>285</v>
      </c>
    </row>
    <row r="4" spans="2:20" ht="17.399999999999999" x14ac:dyDescent="0.55000000000000004">
      <c r="B4" s="13" t="s">
        <v>97</v>
      </c>
      <c r="C4" s="14" t="s">
        <v>119</v>
      </c>
      <c r="D4" s="14" t="s">
        <v>85</v>
      </c>
      <c r="E4" s="14" t="s">
        <v>121</v>
      </c>
      <c r="F4" s="15" t="s">
        <v>476</v>
      </c>
      <c r="G4" s="15" t="s">
        <v>30</v>
      </c>
      <c r="I4" s="2"/>
      <c r="J4" s="13" t="s">
        <v>97</v>
      </c>
      <c r="N4" s="2"/>
      <c r="O4" s="43" t="s">
        <v>81</v>
      </c>
      <c r="P4" s="11">
        <v>0.83789999999999998</v>
      </c>
      <c r="Q4" s="1">
        <v>1</v>
      </c>
      <c r="R4" s="1">
        <v>0.36</v>
      </c>
    </row>
    <row r="5" spans="2:20" x14ac:dyDescent="0.55000000000000004">
      <c r="B5" s="7" t="s">
        <v>473</v>
      </c>
      <c r="C5" s="28">
        <v>2.2115</v>
      </c>
      <c r="D5" s="28">
        <v>0.14829999999999999</v>
      </c>
      <c r="E5" s="27" t="s">
        <v>167</v>
      </c>
      <c r="F5" s="25">
        <v>222.2791</v>
      </c>
      <c r="G5" s="27" t="s">
        <v>284</v>
      </c>
      <c r="J5" s="7" t="s">
        <v>466</v>
      </c>
      <c r="N5" s="2"/>
      <c r="O5" s="43" t="s">
        <v>82</v>
      </c>
      <c r="P5" s="26">
        <v>0.33189999999999997</v>
      </c>
      <c r="Q5" s="1">
        <v>1</v>
      </c>
      <c r="R5" s="1">
        <v>0.56459999999999999</v>
      </c>
    </row>
    <row r="6" spans="2:20" x14ac:dyDescent="0.55000000000000004">
      <c r="B6" s="7" t="s">
        <v>9</v>
      </c>
      <c r="C6" s="28">
        <v>-0.1898</v>
      </c>
      <c r="D6" s="28">
        <v>0.20730000000000001</v>
      </c>
      <c r="E6" s="27" t="s">
        <v>168</v>
      </c>
      <c r="F6" s="11">
        <v>0.83789999999999998</v>
      </c>
      <c r="G6" s="28">
        <v>0.36</v>
      </c>
      <c r="J6" s="7" t="s">
        <v>467</v>
      </c>
      <c r="O6" s="44" t="s">
        <v>83</v>
      </c>
      <c r="P6" s="1">
        <v>2.2323</v>
      </c>
      <c r="Q6" s="1">
        <v>1</v>
      </c>
      <c r="R6" s="1">
        <v>0.13519999999999999</v>
      </c>
    </row>
    <row r="7" spans="2:20" x14ac:dyDescent="0.55000000000000004">
      <c r="B7" s="7" t="s">
        <v>0</v>
      </c>
      <c r="C7" s="28">
        <v>0.1384</v>
      </c>
      <c r="D7" s="28">
        <v>0.24030000000000001</v>
      </c>
      <c r="E7" s="27" t="s">
        <v>170</v>
      </c>
      <c r="F7" s="11">
        <v>0.33189999999999997</v>
      </c>
      <c r="G7" s="28">
        <v>0.56459999999999999</v>
      </c>
      <c r="J7" s="7" t="s">
        <v>468</v>
      </c>
    </row>
    <row r="8" spans="2:20" x14ac:dyDescent="0.55000000000000004">
      <c r="B8" s="9" t="s">
        <v>469</v>
      </c>
      <c r="C8" s="31">
        <v>-0.50180000000000002</v>
      </c>
      <c r="D8" s="31">
        <v>0.33589999999999998</v>
      </c>
      <c r="E8" s="24" t="s">
        <v>169</v>
      </c>
      <c r="F8" s="31">
        <v>2.2323</v>
      </c>
      <c r="G8" s="31">
        <v>0.13519999999999999</v>
      </c>
      <c r="J8" s="9" t="s">
        <v>469</v>
      </c>
    </row>
    <row r="9" spans="2:20" x14ac:dyDescent="0.55000000000000004">
      <c r="O9" s="1" t="s">
        <v>286</v>
      </c>
      <c r="P9" s="1" t="s">
        <v>287</v>
      </c>
    </row>
    <row r="10" spans="2:20" x14ac:dyDescent="0.55000000000000004">
      <c r="P10" s="1" t="s">
        <v>119</v>
      </c>
      <c r="Q10" s="1" t="s">
        <v>85</v>
      </c>
      <c r="R10" s="1" t="s">
        <v>37</v>
      </c>
      <c r="S10" s="1" t="s">
        <v>289</v>
      </c>
      <c r="T10" s="1" t="s">
        <v>288</v>
      </c>
    </row>
    <row r="11" spans="2:20" x14ac:dyDescent="0.55000000000000004">
      <c r="O11" s="1" t="s">
        <v>38</v>
      </c>
      <c r="P11" s="1">
        <v>2.2115</v>
      </c>
      <c r="Q11" s="1">
        <v>0.14829999999999999</v>
      </c>
      <c r="R11" s="1">
        <v>37.979199999999999</v>
      </c>
      <c r="S11" s="1">
        <v>14.909000000000001</v>
      </c>
      <c r="T11" s="1" t="s">
        <v>284</v>
      </c>
    </row>
    <row r="12" spans="2:20" x14ac:dyDescent="0.55000000000000004">
      <c r="O12" s="1" t="s">
        <v>81</v>
      </c>
      <c r="P12" s="1">
        <v>-0.1898</v>
      </c>
      <c r="Q12" s="1">
        <v>0.20730000000000001</v>
      </c>
      <c r="R12" s="1">
        <v>18.9999</v>
      </c>
      <c r="S12" s="1">
        <v>-0.91500000000000004</v>
      </c>
      <c r="T12" s="1">
        <v>0.371</v>
      </c>
    </row>
    <row r="13" spans="2:20" x14ac:dyDescent="0.55000000000000004">
      <c r="B13" s="1" t="s">
        <v>459</v>
      </c>
      <c r="O13" s="1" t="s">
        <v>82</v>
      </c>
      <c r="P13" s="1">
        <v>0.1384</v>
      </c>
      <c r="Q13" s="1">
        <v>0.24030000000000001</v>
      </c>
      <c r="R13" s="1">
        <v>37.979199999999999</v>
      </c>
      <c r="S13" s="1">
        <v>0.57599999999999996</v>
      </c>
      <c r="T13" s="1">
        <v>0.56799999999999995</v>
      </c>
    </row>
    <row r="14" spans="2:20" x14ac:dyDescent="0.55000000000000004">
      <c r="B14" s="1" t="s">
        <v>460</v>
      </c>
      <c r="O14" s="1" t="s">
        <v>83</v>
      </c>
      <c r="P14" s="1">
        <v>-0.50180000000000002</v>
      </c>
      <c r="Q14" s="1">
        <v>0.33589999999999998</v>
      </c>
      <c r="R14" s="1">
        <v>18.9999</v>
      </c>
      <c r="S14" s="1">
        <v>-1.494</v>
      </c>
      <c r="T14" s="1">
        <v>0.152</v>
      </c>
    </row>
    <row r="16" spans="2:20" x14ac:dyDescent="0.55000000000000004">
      <c r="B16" s="13" t="s">
        <v>97</v>
      </c>
      <c r="C16" s="14" t="s">
        <v>171</v>
      </c>
      <c r="D16" s="14" t="s">
        <v>37</v>
      </c>
      <c r="E16" s="15" t="s">
        <v>30</v>
      </c>
      <c r="H16" s="23" t="s">
        <v>97</v>
      </c>
    </row>
    <row r="17" spans="2:8" x14ac:dyDescent="0.55000000000000004">
      <c r="B17" s="7" t="s">
        <v>38</v>
      </c>
      <c r="C17" s="25">
        <v>222.279140150367</v>
      </c>
      <c r="D17" s="2">
        <v>1</v>
      </c>
      <c r="E17" s="11">
        <v>2.87909755160695E-50</v>
      </c>
      <c r="H17" s="1" t="s">
        <v>38</v>
      </c>
    </row>
    <row r="18" spans="2:8" x14ac:dyDescent="0.55000000000000004">
      <c r="B18" s="7" t="s">
        <v>94</v>
      </c>
      <c r="C18" s="11">
        <v>0.83791495384623804</v>
      </c>
      <c r="D18" s="2">
        <v>1</v>
      </c>
      <c r="E18" s="11">
        <v>0.359993776706796</v>
      </c>
      <c r="H18" s="1" t="s">
        <v>81</v>
      </c>
    </row>
    <row r="19" spans="2:8" x14ac:dyDescent="0.55000000000000004">
      <c r="B19" s="7" t="s">
        <v>0</v>
      </c>
      <c r="C19" s="11">
        <v>0.33185496536009701</v>
      </c>
      <c r="D19" s="2">
        <v>1</v>
      </c>
      <c r="E19" s="11">
        <v>0.56456885338025498</v>
      </c>
      <c r="H19" s="1" t="s">
        <v>82</v>
      </c>
    </row>
    <row r="20" spans="2:8" x14ac:dyDescent="0.55000000000000004">
      <c r="B20" s="9" t="s">
        <v>98</v>
      </c>
      <c r="C20" s="12">
        <v>2.2323089565085299</v>
      </c>
      <c r="D20" s="4">
        <v>1</v>
      </c>
      <c r="E20" s="12">
        <v>0.13515174503684499</v>
      </c>
      <c r="H20" s="3" t="s">
        <v>83</v>
      </c>
    </row>
    <row r="21" spans="2:8" x14ac:dyDescent="0.55000000000000004">
      <c r="B21" s="1" t="s">
        <v>91</v>
      </c>
    </row>
    <row r="23" spans="2:8" x14ac:dyDescent="0.55000000000000004">
      <c r="B23" s="1" t="s">
        <v>280</v>
      </c>
    </row>
    <row r="24" spans="2:8" x14ac:dyDescent="0.55000000000000004">
      <c r="B24" s="1" t="s">
        <v>281</v>
      </c>
    </row>
    <row r="29" spans="2:8" x14ac:dyDescent="0.55000000000000004">
      <c r="B29" s="7"/>
      <c r="C29" s="72"/>
      <c r="D29" s="72"/>
      <c r="E29" s="72"/>
      <c r="F29" s="72"/>
      <c r="G29" s="72"/>
    </row>
    <row r="30" spans="2:8" x14ac:dyDescent="0.55000000000000004">
      <c r="B30" s="13"/>
      <c r="C30" s="14"/>
      <c r="D30" s="14"/>
      <c r="E30" s="14"/>
      <c r="F30" s="14"/>
      <c r="G30" s="15"/>
    </row>
  </sheetData>
  <mergeCells count="4">
    <mergeCell ref="C3:E3"/>
    <mergeCell ref="F3:G3"/>
    <mergeCell ref="C29:E29"/>
    <mergeCell ref="F29:G29"/>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2D0D4-DAF6-416E-8BEA-7DA03EBD9660}">
  <dimension ref="B2:H45"/>
  <sheetViews>
    <sheetView topLeftCell="A33" workbookViewId="0">
      <selection activeCell="H45" sqref="B40:H45"/>
    </sheetView>
  </sheetViews>
  <sheetFormatPr defaultRowHeight="15.3" x14ac:dyDescent="0.55000000000000004"/>
  <cols>
    <col min="1" max="1" width="8.83984375" style="1"/>
    <col min="2" max="2" width="14.89453125" style="1" customWidth="1"/>
    <col min="3" max="3" width="18.578125" style="1" customWidth="1"/>
    <col min="4" max="5" width="11.89453125" style="1" customWidth="1"/>
    <col min="6" max="6" width="18.734375" style="1" customWidth="1"/>
    <col min="7" max="7" width="13.9453125" style="1" customWidth="1"/>
    <col min="8" max="8" width="10.734375" style="1" customWidth="1"/>
    <col min="9" max="16384" width="8.83984375" style="1"/>
  </cols>
  <sheetData>
    <row r="2" spans="2:8" x14ac:dyDescent="0.55000000000000004">
      <c r="B2" s="3" t="s">
        <v>541</v>
      </c>
      <c r="C2" s="3"/>
      <c r="D2" s="3"/>
      <c r="E2" s="3"/>
      <c r="F2" s="3"/>
      <c r="G2" s="3"/>
      <c r="H2" s="3"/>
    </row>
    <row r="3" spans="2:8" ht="30" x14ac:dyDescent="0.55000000000000004">
      <c r="B3" s="13" t="s">
        <v>23</v>
      </c>
      <c r="C3" s="17" t="s">
        <v>265</v>
      </c>
      <c r="D3" s="14" t="s">
        <v>9</v>
      </c>
      <c r="E3" s="14" t="s">
        <v>0</v>
      </c>
      <c r="F3" s="14" t="s">
        <v>74</v>
      </c>
      <c r="G3" s="14" t="s">
        <v>75</v>
      </c>
      <c r="H3" s="14" t="s">
        <v>266</v>
      </c>
    </row>
    <row r="4" spans="2:8" x14ac:dyDescent="0.55000000000000004">
      <c r="B4" s="7" t="s">
        <v>223</v>
      </c>
      <c r="C4" s="2">
        <v>1</v>
      </c>
      <c r="D4" s="2" t="s">
        <v>95</v>
      </c>
      <c r="E4" s="2" t="s">
        <v>7</v>
      </c>
      <c r="F4" s="2" t="s">
        <v>71</v>
      </c>
      <c r="G4" s="2" t="s">
        <v>73</v>
      </c>
      <c r="H4" s="37">
        <v>4.5999999999999996</v>
      </c>
    </row>
    <row r="5" spans="2:8" x14ac:dyDescent="0.55000000000000004">
      <c r="B5" s="7" t="s">
        <v>224</v>
      </c>
      <c r="C5" s="2">
        <v>1</v>
      </c>
      <c r="D5" s="2" t="s">
        <v>95</v>
      </c>
      <c r="E5" s="2" t="s">
        <v>7</v>
      </c>
      <c r="F5" s="2" t="s">
        <v>71</v>
      </c>
      <c r="G5" s="2" t="s">
        <v>73</v>
      </c>
      <c r="H5" s="37">
        <v>3</v>
      </c>
    </row>
    <row r="6" spans="2:8" x14ac:dyDescent="0.55000000000000004">
      <c r="B6" s="7" t="s">
        <v>225</v>
      </c>
      <c r="C6" s="2">
        <v>2</v>
      </c>
      <c r="D6" s="2" t="s">
        <v>95</v>
      </c>
      <c r="E6" s="2" t="s">
        <v>6</v>
      </c>
      <c r="F6" s="2" t="s">
        <v>69</v>
      </c>
      <c r="G6" s="2" t="s">
        <v>69</v>
      </c>
      <c r="H6" s="37">
        <v>1</v>
      </c>
    </row>
    <row r="7" spans="2:8" x14ac:dyDescent="0.55000000000000004">
      <c r="B7" s="7" t="s">
        <v>226</v>
      </c>
      <c r="C7" s="2">
        <v>3</v>
      </c>
      <c r="D7" s="2" t="s">
        <v>95</v>
      </c>
      <c r="E7" s="2" t="s">
        <v>6</v>
      </c>
      <c r="F7" s="2" t="s">
        <v>76</v>
      </c>
      <c r="G7" s="2" t="s">
        <v>68</v>
      </c>
      <c r="H7" s="37">
        <v>3</v>
      </c>
    </row>
    <row r="8" spans="2:8" x14ac:dyDescent="0.55000000000000004">
      <c r="B8" s="7" t="s">
        <v>227</v>
      </c>
      <c r="C8" s="2">
        <v>3</v>
      </c>
      <c r="D8" s="2" t="s">
        <v>95</v>
      </c>
      <c r="E8" s="2" t="s">
        <v>6</v>
      </c>
      <c r="F8" s="2" t="s">
        <v>76</v>
      </c>
      <c r="G8" s="2" t="s">
        <v>68</v>
      </c>
      <c r="H8" s="37">
        <v>2</v>
      </c>
    </row>
    <row r="9" spans="2:8" x14ac:dyDescent="0.55000000000000004">
      <c r="B9" s="7" t="s">
        <v>228</v>
      </c>
      <c r="C9" s="2">
        <v>4</v>
      </c>
      <c r="D9" s="2" t="s">
        <v>95</v>
      </c>
      <c r="E9" s="2" t="s">
        <v>6</v>
      </c>
      <c r="F9" s="2" t="s">
        <v>76</v>
      </c>
      <c r="G9" s="2" t="s">
        <v>68</v>
      </c>
      <c r="H9" s="37">
        <v>3</v>
      </c>
    </row>
    <row r="10" spans="2:8" x14ac:dyDescent="0.55000000000000004">
      <c r="B10" s="7" t="s">
        <v>229</v>
      </c>
      <c r="C10" s="2">
        <v>4</v>
      </c>
      <c r="D10" s="2" t="s">
        <v>96</v>
      </c>
      <c r="E10" s="2" t="s">
        <v>7</v>
      </c>
      <c r="F10" s="2" t="s">
        <v>71</v>
      </c>
      <c r="G10" s="2" t="s">
        <v>73</v>
      </c>
      <c r="H10" s="37">
        <v>4.5999999999999996</v>
      </c>
    </row>
    <row r="11" spans="2:8" x14ac:dyDescent="0.55000000000000004">
      <c r="B11" s="7" t="s">
        <v>230</v>
      </c>
      <c r="C11" s="2">
        <v>5</v>
      </c>
      <c r="D11" s="2" t="s">
        <v>96</v>
      </c>
      <c r="E11" s="2" t="s">
        <v>7</v>
      </c>
      <c r="F11" s="2" t="s">
        <v>71</v>
      </c>
      <c r="G11" s="2" t="s">
        <v>73</v>
      </c>
      <c r="H11" s="37">
        <v>13.64</v>
      </c>
    </row>
    <row r="12" spans="2:8" x14ac:dyDescent="0.55000000000000004">
      <c r="B12" s="7" t="s">
        <v>231</v>
      </c>
      <c r="C12" s="2">
        <v>6</v>
      </c>
      <c r="D12" s="2" t="s">
        <v>96</v>
      </c>
      <c r="E12" s="2" t="s">
        <v>7</v>
      </c>
      <c r="F12" s="2" t="s">
        <v>71</v>
      </c>
      <c r="G12" s="2" t="s">
        <v>72</v>
      </c>
      <c r="H12" s="37">
        <v>1.21</v>
      </c>
    </row>
    <row r="13" spans="2:8" x14ac:dyDescent="0.55000000000000004">
      <c r="B13" s="7" t="s">
        <v>232</v>
      </c>
      <c r="C13" s="2">
        <v>6</v>
      </c>
      <c r="D13" s="2" t="s">
        <v>96</v>
      </c>
      <c r="E13" s="2" t="s">
        <v>7</v>
      </c>
      <c r="F13" s="2" t="s">
        <v>71</v>
      </c>
      <c r="G13" s="2" t="s">
        <v>73</v>
      </c>
      <c r="H13" s="37">
        <v>3.03</v>
      </c>
    </row>
    <row r="14" spans="2:8" x14ac:dyDescent="0.55000000000000004">
      <c r="B14" s="7" t="s">
        <v>233</v>
      </c>
      <c r="C14" s="2">
        <v>6</v>
      </c>
      <c r="D14" s="2" t="s">
        <v>96</v>
      </c>
      <c r="E14" s="2" t="s">
        <v>7</v>
      </c>
      <c r="F14" s="2" t="s">
        <v>71</v>
      </c>
      <c r="G14" s="2" t="s">
        <v>73</v>
      </c>
      <c r="H14" s="37">
        <v>2.42</v>
      </c>
    </row>
    <row r="15" spans="2:8" x14ac:dyDescent="0.55000000000000004">
      <c r="B15" s="7" t="s">
        <v>234</v>
      </c>
      <c r="C15" s="2">
        <v>7</v>
      </c>
      <c r="D15" s="2" t="s">
        <v>95</v>
      </c>
      <c r="E15" s="2" t="s">
        <v>7</v>
      </c>
      <c r="F15" s="2" t="s">
        <v>71</v>
      </c>
      <c r="G15" s="2" t="s">
        <v>72</v>
      </c>
      <c r="H15" s="37">
        <v>1</v>
      </c>
    </row>
    <row r="16" spans="2:8" x14ac:dyDescent="0.55000000000000004">
      <c r="B16" s="7" t="s">
        <v>235</v>
      </c>
      <c r="C16" s="2">
        <v>8</v>
      </c>
      <c r="D16" s="2" t="s">
        <v>95</v>
      </c>
      <c r="E16" s="2" t="s">
        <v>7</v>
      </c>
      <c r="F16" s="2" t="s">
        <v>71</v>
      </c>
      <c r="G16" s="2" t="s">
        <v>73</v>
      </c>
      <c r="H16" s="37">
        <v>2</v>
      </c>
    </row>
    <row r="17" spans="2:8" x14ac:dyDescent="0.55000000000000004">
      <c r="B17" s="7" t="s">
        <v>236</v>
      </c>
      <c r="C17" s="2">
        <v>9</v>
      </c>
      <c r="D17" s="2" t="s">
        <v>95</v>
      </c>
      <c r="E17" s="2" t="s">
        <v>7</v>
      </c>
      <c r="F17" s="2" t="s">
        <v>71</v>
      </c>
      <c r="G17" s="2" t="s">
        <v>73</v>
      </c>
      <c r="H17" s="37">
        <v>13.7</v>
      </c>
    </row>
    <row r="18" spans="2:8" x14ac:dyDescent="0.55000000000000004">
      <c r="B18" s="7" t="s">
        <v>237</v>
      </c>
      <c r="C18" s="2">
        <v>9</v>
      </c>
      <c r="D18" s="2" t="s">
        <v>95</v>
      </c>
      <c r="E18" s="2" t="s">
        <v>7</v>
      </c>
      <c r="F18" s="2" t="s">
        <v>71</v>
      </c>
      <c r="G18" s="2" t="s">
        <v>72</v>
      </c>
      <c r="H18" s="37">
        <v>13.7</v>
      </c>
    </row>
    <row r="19" spans="2:8" x14ac:dyDescent="0.55000000000000004">
      <c r="B19" s="7" t="s">
        <v>238</v>
      </c>
      <c r="C19" s="2">
        <v>9</v>
      </c>
      <c r="D19" s="2" t="s">
        <v>95</v>
      </c>
      <c r="E19" s="2" t="s">
        <v>7</v>
      </c>
      <c r="F19" s="2" t="s">
        <v>71</v>
      </c>
      <c r="G19" s="2" t="s">
        <v>72</v>
      </c>
      <c r="H19" s="37">
        <v>17.399999999999999</v>
      </c>
    </row>
    <row r="20" spans="2:8" x14ac:dyDescent="0.55000000000000004">
      <c r="B20" s="7" t="s">
        <v>239</v>
      </c>
      <c r="C20" s="2">
        <v>10</v>
      </c>
      <c r="D20" s="2" t="s">
        <v>95</v>
      </c>
      <c r="E20" s="2" t="s">
        <v>6</v>
      </c>
      <c r="F20" s="2" t="s">
        <v>69</v>
      </c>
      <c r="G20" s="2" t="s">
        <v>69</v>
      </c>
      <c r="H20" s="37">
        <v>30.5</v>
      </c>
    </row>
    <row r="21" spans="2:8" x14ac:dyDescent="0.55000000000000004">
      <c r="B21" s="7" t="s">
        <v>240</v>
      </c>
      <c r="C21" s="2">
        <v>11</v>
      </c>
      <c r="D21" s="2" t="s">
        <v>95</v>
      </c>
      <c r="E21" s="2" t="s">
        <v>6</v>
      </c>
      <c r="F21" s="2" t="s">
        <v>69</v>
      </c>
      <c r="G21" s="2" t="s">
        <v>70</v>
      </c>
      <c r="H21" s="37">
        <v>30.5</v>
      </c>
    </row>
    <row r="22" spans="2:8" x14ac:dyDescent="0.55000000000000004">
      <c r="B22" s="7" t="s">
        <v>241</v>
      </c>
      <c r="C22" s="2">
        <v>11</v>
      </c>
      <c r="D22" s="2" t="s">
        <v>95</v>
      </c>
      <c r="E22" s="2" t="s">
        <v>7</v>
      </c>
      <c r="F22" s="2" t="s">
        <v>71</v>
      </c>
      <c r="G22" s="2" t="s">
        <v>73</v>
      </c>
      <c r="H22" s="37">
        <v>21.3</v>
      </c>
    </row>
    <row r="23" spans="2:8" x14ac:dyDescent="0.55000000000000004">
      <c r="B23" s="7" t="s">
        <v>242</v>
      </c>
      <c r="C23" s="2">
        <v>12</v>
      </c>
      <c r="D23" s="2" t="s">
        <v>96</v>
      </c>
      <c r="E23" s="2" t="s">
        <v>7</v>
      </c>
      <c r="F23" s="2" t="s">
        <v>71</v>
      </c>
      <c r="G23" s="2" t="s">
        <v>72</v>
      </c>
      <c r="H23" s="37">
        <v>17.27</v>
      </c>
    </row>
    <row r="24" spans="2:8" x14ac:dyDescent="0.55000000000000004">
      <c r="B24" s="7" t="s">
        <v>243</v>
      </c>
      <c r="C24" s="2">
        <v>12</v>
      </c>
      <c r="D24" s="2" t="s">
        <v>96</v>
      </c>
      <c r="E24" s="2" t="s">
        <v>7</v>
      </c>
      <c r="F24" s="2" t="s">
        <v>71</v>
      </c>
      <c r="G24" s="2" t="s">
        <v>72</v>
      </c>
      <c r="H24" s="37">
        <v>13.64</v>
      </c>
    </row>
    <row r="25" spans="2:8" x14ac:dyDescent="0.55000000000000004">
      <c r="B25" s="7" t="s">
        <v>244</v>
      </c>
      <c r="C25" s="2">
        <v>13</v>
      </c>
      <c r="D25" s="2" t="s">
        <v>96</v>
      </c>
      <c r="E25" s="2" t="s">
        <v>6</v>
      </c>
      <c r="F25" s="2" t="s">
        <v>69</v>
      </c>
      <c r="G25" s="2" t="s">
        <v>77</v>
      </c>
      <c r="H25" s="37">
        <v>6</v>
      </c>
    </row>
    <row r="26" spans="2:8" x14ac:dyDescent="0.55000000000000004">
      <c r="B26" s="7" t="s">
        <v>245</v>
      </c>
      <c r="C26" s="2">
        <v>13</v>
      </c>
      <c r="D26" s="2" t="s">
        <v>96</v>
      </c>
      <c r="E26" s="2" t="s">
        <v>6</v>
      </c>
      <c r="F26" s="2" t="s">
        <v>76</v>
      </c>
      <c r="G26" s="2" t="s">
        <v>68</v>
      </c>
      <c r="H26" s="37">
        <v>3</v>
      </c>
    </row>
    <row r="27" spans="2:8" x14ac:dyDescent="0.55000000000000004">
      <c r="B27" s="7" t="s">
        <v>246</v>
      </c>
      <c r="C27" s="2">
        <v>14</v>
      </c>
      <c r="D27" s="2" t="s">
        <v>96</v>
      </c>
      <c r="E27" s="2" t="s">
        <v>6</v>
      </c>
      <c r="F27" s="2" t="s">
        <v>69</v>
      </c>
      <c r="G27" s="2" t="s">
        <v>69</v>
      </c>
      <c r="H27" s="37">
        <v>30</v>
      </c>
    </row>
    <row r="28" spans="2:8" x14ac:dyDescent="0.55000000000000004">
      <c r="B28" s="7" t="s">
        <v>247</v>
      </c>
      <c r="C28" s="2">
        <v>14</v>
      </c>
      <c r="D28" s="2" t="s">
        <v>96</v>
      </c>
      <c r="E28" s="2" t="s">
        <v>6</v>
      </c>
      <c r="F28" s="2" t="s">
        <v>69</v>
      </c>
      <c r="G28" s="2" t="s">
        <v>77</v>
      </c>
      <c r="H28" s="37">
        <v>10.7</v>
      </c>
    </row>
    <row r="29" spans="2:8" x14ac:dyDescent="0.55000000000000004">
      <c r="B29" s="7" t="s">
        <v>248</v>
      </c>
      <c r="C29" s="2">
        <v>14</v>
      </c>
      <c r="D29" s="2" t="s">
        <v>96</v>
      </c>
      <c r="E29" s="2" t="s">
        <v>6</v>
      </c>
      <c r="F29" s="2" t="s">
        <v>76</v>
      </c>
      <c r="G29" s="2" t="s">
        <v>68</v>
      </c>
      <c r="H29" s="37">
        <v>18.3</v>
      </c>
    </row>
    <row r="30" spans="2:8" x14ac:dyDescent="0.55000000000000004">
      <c r="B30" s="7" t="s">
        <v>249</v>
      </c>
      <c r="C30" s="2">
        <v>14</v>
      </c>
      <c r="D30" s="2" t="s">
        <v>96</v>
      </c>
      <c r="E30" s="2" t="s">
        <v>6</v>
      </c>
      <c r="F30" s="2" t="s">
        <v>76</v>
      </c>
      <c r="G30" s="2" t="s">
        <v>68</v>
      </c>
      <c r="H30" s="37">
        <v>12</v>
      </c>
    </row>
    <row r="31" spans="2:8" x14ac:dyDescent="0.55000000000000004">
      <c r="B31" s="7" t="s">
        <v>250</v>
      </c>
      <c r="C31" s="2">
        <v>14</v>
      </c>
      <c r="D31" s="2" t="s">
        <v>96</v>
      </c>
      <c r="E31" s="2" t="s">
        <v>6</v>
      </c>
      <c r="F31" s="2" t="s">
        <v>69</v>
      </c>
      <c r="G31" s="2" t="s">
        <v>70</v>
      </c>
      <c r="H31" s="37">
        <v>30</v>
      </c>
    </row>
    <row r="32" spans="2:8" x14ac:dyDescent="0.55000000000000004">
      <c r="B32" s="7" t="s">
        <v>251</v>
      </c>
      <c r="C32" s="2">
        <v>14</v>
      </c>
      <c r="D32" s="2" t="s">
        <v>96</v>
      </c>
      <c r="E32" s="2" t="s">
        <v>6</v>
      </c>
      <c r="F32" s="2" t="s">
        <v>76</v>
      </c>
      <c r="G32" s="2" t="s">
        <v>68</v>
      </c>
      <c r="H32" s="37">
        <v>9.1</v>
      </c>
    </row>
    <row r="33" spans="2:8" x14ac:dyDescent="0.55000000000000004">
      <c r="B33" s="7" t="s">
        <v>252</v>
      </c>
      <c r="C33" s="2">
        <v>14</v>
      </c>
      <c r="D33" s="2" t="s">
        <v>96</v>
      </c>
      <c r="E33" s="2" t="s">
        <v>7</v>
      </c>
      <c r="F33" s="2" t="s">
        <v>71</v>
      </c>
      <c r="G33" s="2" t="s">
        <v>73</v>
      </c>
      <c r="H33" s="37">
        <v>21.21</v>
      </c>
    </row>
    <row r="34" spans="2:8" x14ac:dyDescent="0.55000000000000004">
      <c r="B34" s="7" t="s">
        <v>253</v>
      </c>
      <c r="C34" s="2">
        <v>15</v>
      </c>
      <c r="D34" s="2" t="s">
        <v>96</v>
      </c>
      <c r="E34" s="2" t="s">
        <v>6</v>
      </c>
      <c r="F34" s="2" t="s">
        <v>76</v>
      </c>
      <c r="G34" s="2" t="s">
        <v>68</v>
      </c>
      <c r="H34" s="37">
        <v>5</v>
      </c>
    </row>
    <row r="35" spans="2:8" x14ac:dyDescent="0.55000000000000004">
      <c r="B35" s="7" t="s">
        <v>254</v>
      </c>
      <c r="C35" s="2">
        <v>16</v>
      </c>
      <c r="D35" s="2" t="s">
        <v>95</v>
      </c>
      <c r="E35" s="2" t="s">
        <v>6</v>
      </c>
      <c r="F35" s="2" t="s">
        <v>76</v>
      </c>
      <c r="G35" s="2" t="s">
        <v>68</v>
      </c>
      <c r="H35" s="37">
        <v>18.3</v>
      </c>
    </row>
    <row r="36" spans="2:8" x14ac:dyDescent="0.55000000000000004">
      <c r="B36" s="7" t="s">
        <v>255</v>
      </c>
      <c r="C36" s="2">
        <v>16</v>
      </c>
      <c r="D36" s="2" t="s">
        <v>95</v>
      </c>
      <c r="E36" s="2" t="s">
        <v>6</v>
      </c>
      <c r="F36" s="2" t="s">
        <v>69</v>
      </c>
      <c r="G36" s="2" t="s">
        <v>77</v>
      </c>
      <c r="H36" s="37">
        <v>10.7</v>
      </c>
    </row>
    <row r="37" spans="2:8" x14ac:dyDescent="0.55000000000000004">
      <c r="B37" s="7" t="s">
        <v>256</v>
      </c>
      <c r="C37" s="2">
        <v>16</v>
      </c>
      <c r="D37" s="2" t="s">
        <v>95</v>
      </c>
      <c r="E37" s="2" t="s">
        <v>6</v>
      </c>
      <c r="F37" s="2" t="s">
        <v>76</v>
      </c>
      <c r="G37" s="2" t="s">
        <v>68</v>
      </c>
      <c r="H37" s="37">
        <v>12.2</v>
      </c>
    </row>
    <row r="38" spans="2:8" x14ac:dyDescent="0.55000000000000004">
      <c r="B38" s="7" t="s">
        <v>257</v>
      </c>
      <c r="C38" s="2">
        <v>16</v>
      </c>
      <c r="D38" s="2" t="s">
        <v>95</v>
      </c>
      <c r="E38" s="2" t="s">
        <v>6</v>
      </c>
      <c r="F38" s="2" t="s">
        <v>69</v>
      </c>
      <c r="G38" s="2" t="s">
        <v>77</v>
      </c>
      <c r="H38" s="37">
        <v>6.1</v>
      </c>
    </row>
    <row r="39" spans="2:8" x14ac:dyDescent="0.55000000000000004">
      <c r="B39" s="7" t="s">
        <v>258</v>
      </c>
      <c r="C39" s="2">
        <v>16</v>
      </c>
      <c r="D39" s="2" t="s">
        <v>95</v>
      </c>
      <c r="E39" s="2" t="s">
        <v>6</v>
      </c>
      <c r="F39" s="2" t="s">
        <v>76</v>
      </c>
      <c r="G39" s="2" t="s">
        <v>68</v>
      </c>
      <c r="H39" s="37">
        <v>9.1</v>
      </c>
    </row>
    <row r="40" spans="2:8" x14ac:dyDescent="0.55000000000000004">
      <c r="B40" s="7" t="s">
        <v>259</v>
      </c>
      <c r="C40" s="2">
        <v>17</v>
      </c>
      <c r="D40" s="2" t="s">
        <v>96</v>
      </c>
      <c r="E40" s="2" t="s">
        <v>6</v>
      </c>
      <c r="F40" s="2" t="s">
        <v>76</v>
      </c>
      <c r="G40" s="2" t="s">
        <v>68</v>
      </c>
      <c r="H40" s="37">
        <v>3.5</v>
      </c>
    </row>
    <row r="41" spans="2:8" x14ac:dyDescent="0.55000000000000004">
      <c r="B41" s="7" t="s">
        <v>260</v>
      </c>
      <c r="C41" s="2">
        <v>17</v>
      </c>
      <c r="D41" s="2" t="s">
        <v>96</v>
      </c>
      <c r="E41" s="2" t="s">
        <v>6</v>
      </c>
      <c r="F41" s="2" t="s">
        <v>76</v>
      </c>
      <c r="G41" s="2" t="s">
        <v>68</v>
      </c>
      <c r="H41" s="37">
        <v>2.5</v>
      </c>
    </row>
    <row r="42" spans="2:8" x14ac:dyDescent="0.55000000000000004">
      <c r="B42" s="7" t="s">
        <v>261</v>
      </c>
      <c r="C42" s="2">
        <v>17</v>
      </c>
      <c r="D42" s="2" t="s">
        <v>96</v>
      </c>
      <c r="E42" s="2" t="s">
        <v>6</v>
      </c>
      <c r="F42" s="2" t="s">
        <v>69</v>
      </c>
      <c r="G42" s="2" t="s">
        <v>77</v>
      </c>
      <c r="H42" s="37">
        <v>2</v>
      </c>
    </row>
    <row r="43" spans="2:8" x14ac:dyDescent="0.55000000000000004">
      <c r="B43" s="7" t="s">
        <v>262</v>
      </c>
      <c r="C43" s="2">
        <v>17</v>
      </c>
      <c r="D43" s="2" t="s">
        <v>95</v>
      </c>
      <c r="E43" s="2" t="s">
        <v>6</v>
      </c>
      <c r="F43" s="2" t="s">
        <v>76</v>
      </c>
      <c r="G43" s="2" t="s">
        <v>68</v>
      </c>
      <c r="H43" s="37">
        <v>2</v>
      </c>
    </row>
    <row r="44" spans="2:8" x14ac:dyDescent="0.55000000000000004">
      <c r="B44" s="7" t="s">
        <v>263</v>
      </c>
      <c r="C44" s="2">
        <v>17</v>
      </c>
      <c r="D44" s="2" t="s">
        <v>95</v>
      </c>
      <c r="E44" s="2" t="s">
        <v>6</v>
      </c>
      <c r="F44" s="2" t="s">
        <v>69</v>
      </c>
      <c r="G44" s="2" t="s">
        <v>77</v>
      </c>
      <c r="H44" s="37">
        <v>2</v>
      </c>
    </row>
    <row r="45" spans="2:8" x14ac:dyDescent="0.55000000000000004">
      <c r="B45" s="9" t="s">
        <v>264</v>
      </c>
      <c r="C45" s="4">
        <v>17</v>
      </c>
      <c r="D45" s="4" t="s">
        <v>96</v>
      </c>
      <c r="E45" s="4" t="s">
        <v>6</v>
      </c>
      <c r="F45" s="4" t="s">
        <v>69</v>
      </c>
      <c r="G45" s="4" t="s">
        <v>69</v>
      </c>
      <c r="H45" s="38">
        <v>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FE7F9A-CD48-4B09-A5CA-E32FBD45F8E9}">
  <dimension ref="B2:I21"/>
  <sheetViews>
    <sheetView topLeftCell="A6" zoomScale="115" zoomScaleNormal="115" workbookViewId="0">
      <selection activeCell="B3" sqref="B3:I15"/>
    </sheetView>
  </sheetViews>
  <sheetFormatPr defaultRowHeight="15.3" x14ac:dyDescent="0.55000000000000004"/>
  <cols>
    <col min="1" max="1" width="8.83984375" style="1"/>
    <col min="2" max="2" width="25.578125" style="1" customWidth="1"/>
    <col min="3" max="4" width="8.89453125" style="1" bestFit="1" customWidth="1"/>
    <col min="5" max="5" width="12.1015625" style="1" customWidth="1"/>
    <col min="6" max="7" width="10.3125" style="1" customWidth="1"/>
    <col min="8" max="9" width="8.89453125" style="1" bestFit="1" customWidth="1"/>
    <col min="10" max="14" width="8.83984375" style="1"/>
    <col min="15" max="15" width="25.05078125" style="1" bestFit="1" customWidth="1"/>
    <col min="16" max="16384" width="8.83984375" style="1"/>
  </cols>
  <sheetData>
    <row r="2" spans="2:9" x14ac:dyDescent="0.55000000000000004">
      <c r="B2" s="58" t="s">
        <v>294</v>
      </c>
      <c r="C2" s="3"/>
      <c r="D2" s="3"/>
      <c r="E2" s="3"/>
      <c r="F2" s="3"/>
      <c r="G2" s="3"/>
      <c r="H2" s="3"/>
      <c r="I2" s="3"/>
    </row>
    <row r="3" spans="2:9" ht="30" x14ac:dyDescent="0.55000000000000004">
      <c r="B3" s="13" t="s">
        <v>2</v>
      </c>
      <c r="C3" s="14" t="s">
        <v>172</v>
      </c>
      <c r="D3" s="14" t="s">
        <v>173</v>
      </c>
      <c r="E3" s="17" t="s">
        <v>174</v>
      </c>
      <c r="F3" s="14" t="s">
        <v>95</v>
      </c>
      <c r="G3" s="14" t="s">
        <v>96</v>
      </c>
      <c r="H3" s="14" t="s">
        <v>175</v>
      </c>
      <c r="I3" s="15" t="s">
        <v>30</v>
      </c>
    </row>
    <row r="4" spans="2:9" x14ac:dyDescent="0.55000000000000004">
      <c r="B4" s="35" t="s">
        <v>176</v>
      </c>
      <c r="C4" s="11">
        <v>2.5007728186716299E-2</v>
      </c>
      <c r="D4" s="11">
        <v>0.11245899790787001</v>
      </c>
      <c r="E4" s="11">
        <v>2.6420873670689699E-2</v>
      </c>
      <c r="F4" s="37">
        <v>0</v>
      </c>
      <c r="G4" s="37">
        <v>101.85714285714199</v>
      </c>
      <c r="H4" s="11">
        <v>0.22237196357736799</v>
      </c>
      <c r="I4" s="11">
        <v>0.997</v>
      </c>
    </row>
    <row r="5" spans="2:9" x14ac:dyDescent="0.55000000000000004">
      <c r="B5" s="35" t="s">
        <v>177</v>
      </c>
      <c r="C5" s="11">
        <v>2.2376416442941301E-2</v>
      </c>
      <c r="D5" s="11">
        <v>5.1835692193947097E-2</v>
      </c>
      <c r="E5" s="11">
        <v>5.0061744509798299E-2</v>
      </c>
      <c r="F5" s="37">
        <v>11.285714285714199</v>
      </c>
      <c r="G5" s="37">
        <v>7.6190476190476097</v>
      </c>
      <c r="H5" s="11">
        <v>0.43167970747295498</v>
      </c>
      <c r="I5" s="11">
        <v>0.88500000000000001</v>
      </c>
    </row>
    <row r="6" spans="2:9" x14ac:dyDescent="0.55000000000000004">
      <c r="B6" s="47" t="s">
        <v>178</v>
      </c>
      <c r="C6" s="26">
        <v>2.1956946762653799E-2</v>
      </c>
      <c r="D6" s="26">
        <v>6.5386441383769395E-2</v>
      </c>
      <c r="E6" s="26">
        <v>7.3259442128660299E-2</v>
      </c>
      <c r="F6" s="62">
        <v>31.190476190476101</v>
      </c>
      <c r="G6" s="62">
        <v>1.71428571428571</v>
      </c>
      <c r="H6" s="26">
        <v>0.335802748979455</v>
      </c>
      <c r="I6" s="26">
        <v>2.8000000000000001E-2</v>
      </c>
    </row>
    <row r="7" spans="2:9" x14ac:dyDescent="0.55000000000000004">
      <c r="B7" s="35" t="s">
        <v>179</v>
      </c>
      <c r="C7" s="11">
        <v>1.8262491189105699E-2</v>
      </c>
      <c r="D7" s="11">
        <v>4.4363198067453903E-2</v>
      </c>
      <c r="E7" s="11">
        <v>9.2553916581391601E-2</v>
      </c>
      <c r="F7" s="37">
        <v>8.4285714285714199</v>
      </c>
      <c r="G7" s="37">
        <v>13.5714285714285</v>
      </c>
      <c r="H7" s="11">
        <v>0.41165858154179302</v>
      </c>
      <c r="I7" s="11">
        <v>0.66200000000000003</v>
      </c>
    </row>
    <row r="8" spans="2:9" x14ac:dyDescent="0.55000000000000004">
      <c r="B8" s="35" t="s">
        <v>180</v>
      </c>
      <c r="C8" s="11">
        <v>1.78488463176628E-2</v>
      </c>
      <c r="D8" s="11">
        <v>7.7838037353325298E-2</v>
      </c>
      <c r="E8" s="11">
        <v>0.111411371773063</v>
      </c>
      <c r="F8" s="37">
        <v>0</v>
      </c>
      <c r="G8" s="37">
        <v>29.857142857142801</v>
      </c>
      <c r="H8" s="11">
        <v>0.229307507287763</v>
      </c>
      <c r="I8" s="11">
        <v>0.99099999999999999</v>
      </c>
    </row>
    <row r="9" spans="2:9" x14ac:dyDescent="0.55000000000000004">
      <c r="B9" s="35" t="s">
        <v>181</v>
      </c>
      <c r="C9" s="11">
        <v>1.7842343799105698E-2</v>
      </c>
      <c r="D9" s="11">
        <v>5.7370362799167997E-2</v>
      </c>
      <c r="E9" s="11">
        <v>0.13026195699957699</v>
      </c>
      <c r="F9" s="37">
        <v>11.047619047618999</v>
      </c>
      <c r="G9" s="37">
        <v>12</v>
      </c>
      <c r="H9" s="11">
        <v>0.31100280577909201</v>
      </c>
      <c r="I9" s="11">
        <v>0.221</v>
      </c>
    </row>
    <row r="10" spans="2:9" x14ac:dyDescent="0.55000000000000004">
      <c r="B10" s="35" t="s">
        <v>182</v>
      </c>
      <c r="C10" s="11">
        <v>1.7219363762197001E-2</v>
      </c>
      <c r="D10" s="11">
        <v>2.6631704945045999E-2</v>
      </c>
      <c r="E10" s="11">
        <v>0.14845435861454401</v>
      </c>
      <c r="F10" s="37">
        <v>14</v>
      </c>
      <c r="G10" s="37">
        <v>7.1428571428571397</v>
      </c>
      <c r="H10" s="11">
        <v>0.64657384113142002</v>
      </c>
      <c r="I10" s="11">
        <v>0.82</v>
      </c>
    </row>
    <row r="11" spans="2:9" x14ac:dyDescent="0.55000000000000004">
      <c r="B11" s="35" t="s">
        <v>183</v>
      </c>
      <c r="C11" s="11">
        <v>1.3805602671892601E-2</v>
      </c>
      <c r="D11" s="11">
        <v>2.41520910062917E-2</v>
      </c>
      <c r="E11" s="11">
        <v>0.16304009312902701</v>
      </c>
      <c r="F11" s="37">
        <v>0</v>
      </c>
      <c r="G11" s="37">
        <v>14.714285714285699</v>
      </c>
      <c r="H11" s="11">
        <v>0.57161107368700503</v>
      </c>
      <c r="I11" s="11">
        <v>0.94699999999999995</v>
      </c>
    </row>
    <row r="12" spans="2:9" x14ac:dyDescent="0.55000000000000004">
      <c r="B12" s="35" t="s">
        <v>184</v>
      </c>
      <c r="C12" s="11">
        <v>1.18553599605619E-2</v>
      </c>
      <c r="D12" s="11">
        <v>1.6153593315838499E-2</v>
      </c>
      <c r="E12" s="11">
        <v>0.17556537993236601</v>
      </c>
      <c r="F12" s="37">
        <v>9.4285714285714199</v>
      </c>
      <c r="G12" s="37">
        <v>5.5238095238095202</v>
      </c>
      <c r="H12" s="11">
        <v>0.73391472279655301</v>
      </c>
      <c r="I12" s="11">
        <v>0.376</v>
      </c>
    </row>
    <row r="13" spans="2:9" x14ac:dyDescent="0.55000000000000004">
      <c r="B13" s="35" t="s">
        <v>185</v>
      </c>
      <c r="C13" s="11">
        <v>1.0684542030132299E-2</v>
      </c>
      <c r="D13" s="11">
        <v>1.54207689572182E-2</v>
      </c>
      <c r="E13" s="11">
        <v>0.186853687814617</v>
      </c>
      <c r="F13" s="37">
        <v>5.4761904761904701</v>
      </c>
      <c r="G13" s="37">
        <v>9.8571428571428505</v>
      </c>
      <c r="H13" s="11">
        <v>0.69286700681233204</v>
      </c>
      <c r="I13" s="11">
        <v>0.998</v>
      </c>
    </row>
    <row r="14" spans="2:9" x14ac:dyDescent="0.55000000000000004">
      <c r="B14" s="47" t="s">
        <v>186</v>
      </c>
      <c r="C14" s="26">
        <v>1.06469579931556E-2</v>
      </c>
      <c r="D14" s="26">
        <v>4.0743752567977402E-2</v>
      </c>
      <c r="E14" s="26">
        <v>0.19810228784793499</v>
      </c>
      <c r="F14" s="62">
        <v>8.3809523809523796</v>
      </c>
      <c r="G14" s="62">
        <v>0.61904761904761896</v>
      </c>
      <c r="H14" s="26">
        <v>0.26131510531319002</v>
      </c>
      <c r="I14" s="26">
        <v>1.2E-2</v>
      </c>
    </row>
    <row r="15" spans="2:9" x14ac:dyDescent="0.55000000000000004">
      <c r="B15" s="36" t="s">
        <v>187</v>
      </c>
      <c r="C15" s="12">
        <v>1.0179244527354501E-2</v>
      </c>
      <c r="D15" s="12">
        <v>2.5954466520633501E-2</v>
      </c>
      <c r="E15" s="12">
        <v>0.20885674469872401</v>
      </c>
      <c r="F15" s="38">
        <v>3.71428571428571</v>
      </c>
      <c r="G15" s="38">
        <v>7.8095238095238004</v>
      </c>
      <c r="H15" s="12">
        <v>0.392196253360175</v>
      </c>
      <c r="I15" s="12">
        <v>0.96299999999999997</v>
      </c>
    </row>
    <row r="16" spans="2:9" x14ac:dyDescent="0.55000000000000004">
      <c r="C16" s="7"/>
      <c r="D16" s="7"/>
      <c r="E16" s="7"/>
      <c r="F16" s="7"/>
      <c r="G16" s="7"/>
      <c r="H16" s="7"/>
      <c r="I16" s="7"/>
    </row>
    <row r="18" spans="2:7" x14ac:dyDescent="0.55000000000000004">
      <c r="F18" s="1" t="s">
        <v>63</v>
      </c>
      <c r="G18" s="1" t="s">
        <v>64</v>
      </c>
    </row>
    <row r="19" spans="2:7" x14ac:dyDescent="0.55000000000000004">
      <c r="B19" s="1" t="s">
        <v>201</v>
      </c>
      <c r="F19" s="1" t="s">
        <v>204</v>
      </c>
      <c r="G19" s="1" t="s">
        <v>205</v>
      </c>
    </row>
    <row r="20" spans="2:7" x14ac:dyDescent="0.55000000000000004">
      <c r="B20" s="1" t="s">
        <v>202</v>
      </c>
    </row>
    <row r="21" spans="2:7" x14ac:dyDescent="0.55000000000000004">
      <c r="B21" s="1" t="s">
        <v>203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9D9FE-27BA-4E84-9550-D6F62CC4FEDB}">
  <dimension ref="B2:I20"/>
  <sheetViews>
    <sheetView zoomScale="115" zoomScaleNormal="115" workbookViewId="0">
      <selection activeCell="D14" sqref="D14"/>
    </sheetView>
  </sheetViews>
  <sheetFormatPr defaultRowHeight="15.3" x14ac:dyDescent="0.55000000000000004"/>
  <cols>
    <col min="1" max="1" width="8.83984375" style="1"/>
    <col min="2" max="2" width="25.62890625" style="1" customWidth="1"/>
    <col min="3" max="4" width="8.83984375" style="1"/>
    <col min="5" max="5" width="11.47265625" style="1" customWidth="1"/>
    <col min="6" max="7" width="10.68359375" style="1" customWidth="1"/>
    <col min="8" max="16384" width="8.83984375" style="1"/>
  </cols>
  <sheetData>
    <row r="2" spans="2:9" x14ac:dyDescent="0.55000000000000004">
      <c r="B2" s="58" t="s">
        <v>293</v>
      </c>
      <c r="C2" s="3"/>
      <c r="D2" s="3"/>
      <c r="E2" s="3"/>
      <c r="F2" s="3"/>
      <c r="G2" s="3"/>
      <c r="H2" s="3"/>
      <c r="I2" s="3"/>
    </row>
    <row r="3" spans="2:9" ht="30" x14ac:dyDescent="0.55000000000000004">
      <c r="B3" s="13" t="s">
        <v>2</v>
      </c>
      <c r="C3" s="14" t="s">
        <v>172</v>
      </c>
      <c r="D3" s="14" t="s">
        <v>173</v>
      </c>
      <c r="E3" s="17" t="s">
        <v>174</v>
      </c>
      <c r="F3" s="14" t="s">
        <v>6</v>
      </c>
      <c r="G3" s="14" t="s">
        <v>7</v>
      </c>
      <c r="H3" s="14" t="s">
        <v>175</v>
      </c>
      <c r="I3" s="15" t="s">
        <v>30</v>
      </c>
    </row>
    <row r="4" spans="2:9" x14ac:dyDescent="0.55000000000000004">
      <c r="B4" s="47" t="s">
        <v>176</v>
      </c>
      <c r="C4" s="26">
        <v>3.52381185222371E-2</v>
      </c>
      <c r="D4" s="26">
        <v>0.13697710572793501</v>
      </c>
      <c r="E4" s="26">
        <v>3.7275114106674299E-2</v>
      </c>
      <c r="F4" s="62">
        <v>0</v>
      </c>
      <c r="G4" s="62">
        <v>133.6875</v>
      </c>
      <c r="H4" s="26">
        <v>0.25725553430970599</v>
      </c>
      <c r="I4" s="26">
        <v>1E-3</v>
      </c>
    </row>
    <row r="5" spans="2:9" x14ac:dyDescent="0.55000000000000004">
      <c r="B5" s="47" t="s">
        <v>180</v>
      </c>
      <c r="C5" s="26">
        <v>2.77436269801494E-2</v>
      </c>
      <c r="D5" s="26">
        <v>0.104198026760926</v>
      </c>
      <c r="E5" s="26">
        <v>6.6622505647044902E-2</v>
      </c>
      <c r="F5" s="62">
        <v>3.8461538461538401E-2</v>
      </c>
      <c r="G5" s="62">
        <v>39.125</v>
      </c>
      <c r="H5" s="26">
        <v>0.26625866000135401</v>
      </c>
      <c r="I5" s="26">
        <v>1E-3</v>
      </c>
    </row>
    <row r="6" spans="2:9" x14ac:dyDescent="0.55000000000000004">
      <c r="B6" s="35" t="s">
        <v>178</v>
      </c>
      <c r="C6" s="11">
        <v>1.8761967241557199E-2</v>
      </c>
      <c r="D6" s="11">
        <v>5.39827413919391E-2</v>
      </c>
      <c r="E6" s="11">
        <v>8.6469038297572298E-2</v>
      </c>
      <c r="F6" s="37">
        <v>20.884615384615302</v>
      </c>
      <c r="G6" s="37">
        <v>9.25</v>
      </c>
      <c r="H6" s="11">
        <v>0.34755491769743302</v>
      </c>
      <c r="I6" s="11">
        <v>0.65200000000000002</v>
      </c>
    </row>
    <row r="7" spans="2:9" x14ac:dyDescent="0.55000000000000004">
      <c r="B7" s="35" t="s">
        <v>181</v>
      </c>
      <c r="C7" s="11">
        <v>1.61177109810785E-2</v>
      </c>
      <c r="D7" s="11">
        <v>4.6190189768193501E-2</v>
      </c>
      <c r="E7" s="11">
        <v>0.103518459241513</v>
      </c>
      <c r="F7" s="37">
        <v>8.9230769230769198</v>
      </c>
      <c r="G7" s="37">
        <v>15.75</v>
      </c>
      <c r="H7" s="11">
        <v>0.34894229839638302</v>
      </c>
      <c r="I7" s="11">
        <v>0.65900000000000003</v>
      </c>
    </row>
    <row r="8" spans="2:9" x14ac:dyDescent="0.55000000000000004">
      <c r="B8" s="35" t="s">
        <v>183</v>
      </c>
      <c r="C8" s="11">
        <v>1.6084607766638601E-2</v>
      </c>
      <c r="D8" s="11">
        <v>3.0468836946178499E-2</v>
      </c>
      <c r="E8" s="11">
        <v>0.120532863386961</v>
      </c>
      <c r="F8" s="37">
        <v>3.5</v>
      </c>
      <c r="G8" s="37">
        <v>13.625</v>
      </c>
      <c r="H8" s="11">
        <v>0.52790356898266699</v>
      </c>
      <c r="I8" s="11">
        <v>0.11600000000000001</v>
      </c>
    </row>
    <row r="9" spans="2:9" x14ac:dyDescent="0.55000000000000004">
      <c r="B9" s="35" t="s">
        <v>177</v>
      </c>
      <c r="C9" s="11">
        <v>1.53273075843762E-2</v>
      </c>
      <c r="D9" s="11">
        <v>3.8426902633893097E-2</v>
      </c>
      <c r="E9" s="11">
        <v>0.13674619040654001</v>
      </c>
      <c r="F9" s="37">
        <v>14.8846153846153</v>
      </c>
      <c r="G9" s="37">
        <v>0.625</v>
      </c>
      <c r="H9" s="11">
        <v>0.39886919147257099</v>
      </c>
      <c r="I9" s="11">
        <v>1</v>
      </c>
    </row>
    <row r="10" spans="2:9" x14ac:dyDescent="0.55000000000000004">
      <c r="B10" s="35" t="s">
        <v>179</v>
      </c>
      <c r="C10" s="11">
        <v>1.50172847751955E-2</v>
      </c>
      <c r="D10" s="11">
        <v>3.8059339904258402E-2</v>
      </c>
      <c r="E10" s="11">
        <v>0.15263157325450899</v>
      </c>
      <c r="F10" s="37">
        <v>12.576923076923</v>
      </c>
      <c r="G10" s="37">
        <v>8.4375</v>
      </c>
      <c r="H10" s="11">
        <v>0.39457554474073298</v>
      </c>
      <c r="I10" s="11">
        <v>0.98</v>
      </c>
    </row>
    <row r="11" spans="2:9" x14ac:dyDescent="0.55000000000000004">
      <c r="B11" s="35" t="s">
        <v>182</v>
      </c>
      <c r="C11" s="11">
        <v>1.40000867871074E-2</v>
      </c>
      <c r="D11" s="11">
        <v>2.3074300309646498E-2</v>
      </c>
      <c r="E11" s="11">
        <v>0.167440957364034</v>
      </c>
      <c r="F11" s="37">
        <v>14.8846153846153</v>
      </c>
      <c r="G11" s="37">
        <v>3.5625</v>
      </c>
      <c r="H11" s="11">
        <v>0.60673938534355198</v>
      </c>
      <c r="I11" s="11">
        <v>0.999</v>
      </c>
    </row>
    <row r="12" spans="2:9" x14ac:dyDescent="0.55000000000000004">
      <c r="B12" s="47" t="s">
        <v>188</v>
      </c>
      <c r="C12" s="26">
        <v>1.3016082532028499E-2</v>
      </c>
      <c r="D12" s="26">
        <v>1.5948619554767601E-2</v>
      </c>
      <c r="E12" s="26">
        <v>0.181209455284747</v>
      </c>
      <c r="F12" s="62">
        <v>1.7307692307692299</v>
      </c>
      <c r="G12" s="62">
        <v>12.625</v>
      </c>
      <c r="H12" s="26">
        <v>0.81612596546875404</v>
      </c>
      <c r="I12" s="26">
        <v>1E-3</v>
      </c>
    </row>
    <row r="13" spans="2:9" x14ac:dyDescent="0.55000000000000004">
      <c r="B13" s="47" t="s">
        <v>189</v>
      </c>
      <c r="C13" s="26">
        <v>1.25351055393046E-2</v>
      </c>
      <c r="D13" s="26">
        <v>3.4344054588098298E-2</v>
      </c>
      <c r="E13" s="26">
        <v>0.19446917257135299</v>
      </c>
      <c r="F13" s="62">
        <v>0.46153846153846101</v>
      </c>
      <c r="G13" s="62">
        <v>20.5</v>
      </c>
      <c r="H13" s="26">
        <v>0.36498618726423099</v>
      </c>
      <c r="I13" s="26">
        <v>2E-3</v>
      </c>
    </row>
    <row r="14" spans="2:9" x14ac:dyDescent="0.55000000000000004">
      <c r="B14" s="48" t="s">
        <v>190</v>
      </c>
      <c r="C14" s="46">
        <v>1.1689505994186399E-2</v>
      </c>
      <c r="D14" s="46">
        <v>3.0373848559777299E-2</v>
      </c>
      <c r="E14" s="46">
        <v>0.20683440908388101</v>
      </c>
      <c r="F14" s="67">
        <v>0.96153846153846101</v>
      </c>
      <c r="G14" s="67">
        <v>11.5</v>
      </c>
      <c r="H14" s="46">
        <v>0.38485429237526197</v>
      </c>
      <c r="I14" s="46">
        <v>8.9999999999999993E-3</v>
      </c>
    </row>
    <row r="15" spans="2:9" x14ac:dyDescent="0.55000000000000004">
      <c r="C15" s="7"/>
      <c r="D15" s="7"/>
      <c r="E15" s="7"/>
      <c r="F15" s="7"/>
      <c r="G15" s="7"/>
      <c r="H15" s="7"/>
      <c r="I15" s="7"/>
    </row>
    <row r="17" spans="2:7" x14ac:dyDescent="0.55000000000000004">
      <c r="F17" s="1" t="s">
        <v>63</v>
      </c>
      <c r="G17" s="1" t="s">
        <v>64</v>
      </c>
    </row>
    <row r="18" spans="2:7" x14ac:dyDescent="0.55000000000000004">
      <c r="B18" s="1" t="s">
        <v>206</v>
      </c>
      <c r="F18" s="1" t="s">
        <v>209</v>
      </c>
      <c r="G18" s="1" t="s">
        <v>210</v>
      </c>
    </row>
    <row r="19" spans="2:7" x14ac:dyDescent="0.55000000000000004">
      <c r="B19" s="1" t="s">
        <v>207</v>
      </c>
    </row>
    <row r="20" spans="2:7" x14ac:dyDescent="0.55000000000000004">
      <c r="B20" s="1" t="s">
        <v>208</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28A7D-91E5-4D52-958A-E9FB9A514F6A}">
  <dimension ref="B2:I160"/>
  <sheetViews>
    <sheetView zoomScale="85" zoomScaleNormal="85" workbookViewId="0">
      <selection activeCell="K11" sqref="K11"/>
    </sheetView>
  </sheetViews>
  <sheetFormatPr defaultRowHeight="15.3" x14ac:dyDescent="0.55000000000000004"/>
  <cols>
    <col min="1" max="1" width="8.83984375" style="1"/>
    <col min="2" max="2" width="26.7890625" style="1" customWidth="1"/>
    <col min="3" max="4" width="8.83984375" style="1"/>
    <col min="5" max="5" width="12" style="1" customWidth="1"/>
    <col min="6" max="7" width="16.26171875" style="1" customWidth="1"/>
    <col min="8" max="16384" width="8.83984375" style="1"/>
  </cols>
  <sheetData>
    <row r="2" spans="2:9" x14ac:dyDescent="0.55000000000000004">
      <c r="B2" s="50" t="s">
        <v>292</v>
      </c>
      <c r="C2" s="3"/>
      <c r="D2" s="3"/>
      <c r="E2" s="3"/>
      <c r="F2" s="3"/>
      <c r="G2" s="3"/>
      <c r="H2" s="3"/>
      <c r="I2" s="3"/>
    </row>
    <row r="3" spans="2:9" ht="30" x14ac:dyDescent="0.55000000000000004">
      <c r="B3" s="40" t="s">
        <v>2</v>
      </c>
      <c r="C3" s="39" t="s">
        <v>172</v>
      </c>
      <c r="D3" s="39" t="s">
        <v>173</v>
      </c>
      <c r="E3" s="49" t="s">
        <v>174</v>
      </c>
      <c r="F3" s="49" t="s">
        <v>215</v>
      </c>
      <c r="G3" s="49" t="s">
        <v>216</v>
      </c>
      <c r="H3" s="39" t="s">
        <v>175</v>
      </c>
      <c r="I3" s="41" t="s">
        <v>30</v>
      </c>
    </row>
    <row r="4" spans="2:9" x14ac:dyDescent="0.55000000000000004">
      <c r="B4" s="47" t="s">
        <v>177</v>
      </c>
      <c r="C4" s="26">
        <v>3.9432508048687698E-2</v>
      </c>
      <c r="D4" s="26">
        <v>6.80876799086228E-2</v>
      </c>
      <c r="E4" s="26">
        <v>4.2157016503290103E-2</v>
      </c>
      <c r="F4" s="62">
        <v>18.1538461538461</v>
      </c>
      <c r="G4" s="62">
        <v>11.615384615384601</v>
      </c>
      <c r="H4" s="26">
        <v>0.57914307113428098</v>
      </c>
      <c r="I4" s="26">
        <v>6.0000000000000001E-3</v>
      </c>
    </row>
    <row r="5" spans="2:9" x14ac:dyDescent="0.55000000000000004">
      <c r="B5" s="35" t="s">
        <v>178</v>
      </c>
      <c r="C5" s="11">
        <v>2.6684758882046598E-2</v>
      </c>
      <c r="D5" s="11">
        <v>7.9852917436361595E-2</v>
      </c>
      <c r="E5" s="11">
        <v>7.0685504196433199E-2</v>
      </c>
      <c r="F5" s="37">
        <v>39.769230769230703</v>
      </c>
      <c r="G5" s="37">
        <v>2</v>
      </c>
      <c r="H5" s="11">
        <v>0.33417387540427501</v>
      </c>
      <c r="I5" s="11">
        <v>0.374</v>
      </c>
    </row>
    <row r="6" spans="2:9" x14ac:dyDescent="0.55000000000000004">
      <c r="B6" s="47" t="s">
        <v>182</v>
      </c>
      <c r="C6" s="26">
        <v>2.5785013806817799E-2</v>
      </c>
      <c r="D6" s="26">
        <v>3.05837700854492E-2</v>
      </c>
      <c r="E6" s="26">
        <v>9.8252080769483802E-2</v>
      </c>
      <c r="F6" s="62">
        <v>18.615384615384599</v>
      </c>
      <c r="G6" s="62">
        <v>11.1538461538461</v>
      </c>
      <c r="H6" s="26">
        <v>0.84309467847737696</v>
      </c>
      <c r="I6" s="26">
        <v>1.0999999999999999E-2</v>
      </c>
    </row>
    <row r="7" spans="2:9" x14ac:dyDescent="0.55000000000000004">
      <c r="B7" s="35" t="s">
        <v>179</v>
      </c>
      <c r="C7" s="11">
        <v>2.4970762975813399E-2</v>
      </c>
      <c r="D7" s="11">
        <v>5.93587586646094E-2</v>
      </c>
      <c r="E7" s="11">
        <v>0.124948147516527</v>
      </c>
      <c r="F7" s="37">
        <v>6</v>
      </c>
      <c r="G7" s="37">
        <v>19.1538461538461</v>
      </c>
      <c r="H7" s="11">
        <v>0.42067528933520898</v>
      </c>
      <c r="I7" s="11">
        <v>0.28999999999999998</v>
      </c>
    </row>
    <row r="8" spans="2:9" x14ac:dyDescent="0.55000000000000004">
      <c r="B8" s="35" t="s">
        <v>181</v>
      </c>
      <c r="C8" s="11">
        <v>2.2359847323922401E-2</v>
      </c>
      <c r="D8" s="11">
        <v>7.4146982909192194E-2</v>
      </c>
      <c r="E8" s="11">
        <v>0.148852902737316</v>
      </c>
      <c r="F8" s="37">
        <v>17.846153846153801</v>
      </c>
      <c r="G8" s="37">
        <v>0</v>
      </c>
      <c r="H8" s="11">
        <v>0.301561121526772</v>
      </c>
      <c r="I8" s="11">
        <v>0.4</v>
      </c>
    </row>
    <row r="9" spans="2:9" x14ac:dyDescent="0.55000000000000004">
      <c r="B9" s="47" t="s">
        <v>186</v>
      </c>
      <c r="C9" s="26">
        <v>1.9653233364382201E-2</v>
      </c>
      <c r="D9" s="26">
        <v>5.6366061537090097E-2</v>
      </c>
      <c r="E9" s="26">
        <v>0.169864036045456</v>
      </c>
      <c r="F9" s="62">
        <v>13.538461538461499</v>
      </c>
      <c r="G9" s="62">
        <v>0.61538461538461497</v>
      </c>
      <c r="H9" s="26">
        <v>0.348671396021699</v>
      </c>
      <c r="I9" s="26">
        <v>1E-3</v>
      </c>
    </row>
    <row r="10" spans="2:9" x14ac:dyDescent="0.55000000000000004">
      <c r="B10" s="47" t="s">
        <v>184</v>
      </c>
      <c r="C10" s="26">
        <v>1.8952308402880699E-2</v>
      </c>
      <c r="D10" s="26">
        <v>1.9666437729521799E-2</v>
      </c>
      <c r="E10" s="26">
        <v>0.19012581541615101</v>
      </c>
      <c r="F10" s="62">
        <v>14.076923076923</v>
      </c>
      <c r="G10" s="62">
        <v>7.6153846153846096</v>
      </c>
      <c r="H10" s="26">
        <v>0.96368791661902697</v>
      </c>
      <c r="I10" s="26">
        <v>1E-3</v>
      </c>
    </row>
    <row r="11" spans="2:9" x14ac:dyDescent="0.55000000000000004">
      <c r="B11" s="48" t="s">
        <v>191</v>
      </c>
      <c r="C11" s="46">
        <v>1.79755182370363E-2</v>
      </c>
      <c r="D11" s="46">
        <v>5.0470686415577101E-2</v>
      </c>
      <c r="E11" s="46">
        <v>0.20934331530325601</v>
      </c>
      <c r="F11" s="67">
        <v>26.615384615384599</v>
      </c>
      <c r="G11" s="67">
        <v>0</v>
      </c>
      <c r="H11" s="46">
        <v>0.35615759391551299</v>
      </c>
      <c r="I11" s="46">
        <v>1E-3</v>
      </c>
    </row>
    <row r="12" spans="2:9" x14ac:dyDescent="0.55000000000000004">
      <c r="C12" s="7"/>
      <c r="D12" s="7"/>
      <c r="E12" s="7"/>
      <c r="F12" s="7"/>
      <c r="G12" s="7"/>
      <c r="H12" s="7"/>
      <c r="I12" s="7"/>
    </row>
    <row r="14" spans="2:9" x14ac:dyDescent="0.55000000000000004">
      <c r="B14" s="1" t="s">
        <v>211</v>
      </c>
      <c r="F14" s="1" t="s">
        <v>63</v>
      </c>
      <c r="G14" s="1" t="s">
        <v>64</v>
      </c>
    </row>
    <row r="15" spans="2:9" x14ac:dyDescent="0.55000000000000004">
      <c r="B15" s="1" t="s">
        <v>212</v>
      </c>
      <c r="F15" s="1" t="s">
        <v>215</v>
      </c>
      <c r="G15" s="1" t="s">
        <v>216</v>
      </c>
    </row>
    <row r="16" spans="2:9" x14ac:dyDescent="0.55000000000000004">
      <c r="B16" s="1" t="s">
        <v>213</v>
      </c>
    </row>
    <row r="17" spans="2:9" x14ac:dyDescent="0.55000000000000004">
      <c r="B17" s="1" t="s">
        <v>214</v>
      </c>
    </row>
    <row r="20" spans="2:9" x14ac:dyDescent="0.55000000000000004">
      <c r="B20" s="1" t="s">
        <v>320</v>
      </c>
    </row>
    <row r="21" spans="2:9" x14ac:dyDescent="0.55000000000000004">
      <c r="B21" s="1" t="s">
        <v>451</v>
      </c>
    </row>
    <row r="22" spans="2:9" x14ac:dyDescent="0.55000000000000004">
      <c r="B22" t="s">
        <v>309</v>
      </c>
      <c r="C22" t="s">
        <v>310</v>
      </c>
      <c r="D22" t="s">
        <v>311</v>
      </c>
      <c r="E22" t="s">
        <v>312</v>
      </c>
      <c r="F22" t="s">
        <v>63</v>
      </c>
      <c r="G22" t="s">
        <v>64</v>
      </c>
      <c r="H22" t="s">
        <v>313</v>
      </c>
      <c r="I22" t="s">
        <v>30</v>
      </c>
    </row>
    <row r="23" spans="2:9" x14ac:dyDescent="0.55000000000000004">
      <c r="B23" t="s">
        <v>314</v>
      </c>
      <c r="C23">
        <v>1.01061321702153E-2</v>
      </c>
      <c r="D23">
        <v>1.32722020138365E-2</v>
      </c>
      <c r="E23">
        <v>0.38415648052234003</v>
      </c>
      <c r="F23">
        <v>0</v>
      </c>
      <c r="G23">
        <v>7.8461538461538396</v>
      </c>
      <c r="H23">
        <v>0.76145105082634001</v>
      </c>
      <c r="I23">
        <v>3.0000000000000001E-3</v>
      </c>
    </row>
    <row r="24" spans="2:9" x14ac:dyDescent="0.55000000000000004">
      <c r="B24" t="s">
        <v>315</v>
      </c>
      <c r="C24">
        <v>2.1625350369677801E-3</v>
      </c>
      <c r="D24">
        <v>2.2630445991189598E-3</v>
      </c>
      <c r="E24">
        <v>0.72475380347177698</v>
      </c>
      <c r="F24">
        <v>0</v>
      </c>
      <c r="G24">
        <v>1.6153846153846101</v>
      </c>
      <c r="H24">
        <v>0.95558657474522801</v>
      </c>
      <c r="I24">
        <v>3.0000000000000001E-3</v>
      </c>
    </row>
    <row r="25" spans="2:9" x14ac:dyDescent="0.55000000000000004">
      <c r="B25" t="s">
        <v>316</v>
      </c>
      <c r="C25" s="55">
        <v>9.09558904063936E-4</v>
      </c>
      <c r="D25">
        <v>1.3673972874024001E-3</v>
      </c>
      <c r="E25">
        <v>0.85828071489273405</v>
      </c>
      <c r="F25">
        <v>0</v>
      </c>
      <c r="G25">
        <v>0.61538461538461497</v>
      </c>
      <c r="H25">
        <v>0.665175302337913</v>
      </c>
      <c r="I25">
        <v>1.4E-2</v>
      </c>
    </row>
    <row r="26" spans="2:9" x14ac:dyDescent="0.55000000000000004">
      <c r="B26" t="s">
        <v>317</v>
      </c>
      <c r="C26">
        <v>3.0322920481525399E-3</v>
      </c>
      <c r="D26">
        <v>4.5036867674158702E-3</v>
      </c>
      <c r="E26">
        <v>0.64269602130979198</v>
      </c>
      <c r="F26">
        <v>0</v>
      </c>
      <c r="G26">
        <v>2.3076923076922999</v>
      </c>
      <c r="H26">
        <v>0.67329106235610003</v>
      </c>
      <c r="I26">
        <v>1.4E-2</v>
      </c>
    </row>
    <row r="27" spans="2:9" x14ac:dyDescent="0.55000000000000004">
      <c r="B27" t="s">
        <v>318</v>
      </c>
      <c r="C27" s="55">
        <v>4.5518725096572202E-4</v>
      </c>
      <c r="D27" s="55">
        <v>7.4556346322610003E-4</v>
      </c>
      <c r="E27">
        <v>0.92146507583935999</v>
      </c>
      <c r="F27">
        <v>0</v>
      </c>
      <c r="G27">
        <v>0.30769230769230699</v>
      </c>
      <c r="H27">
        <v>0.61052784024058504</v>
      </c>
      <c r="I27">
        <v>2.1000000000000001E-2</v>
      </c>
    </row>
    <row r="29" spans="2:9" x14ac:dyDescent="0.55000000000000004">
      <c r="B29" s="1" t="s">
        <v>319</v>
      </c>
    </row>
    <row r="30" spans="2:9" x14ac:dyDescent="0.55000000000000004">
      <c r="B30" s="1" t="s">
        <v>450</v>
      </c>
    </row>
    <row r="31" spans="2:9" x14ac:dyDescent="0.55000000000000004">
      <c r="B31" t="s">
        <v>309</v>
      </c>
      <c r="C31" t="s">
        <v>310</v>
      </c>
      <c r="D31" t="s">
        <v>311</v>
      </c>
      <c r="E31" t="s">
        <v>312</v>
      </c>
      <c r="F31" t="s">
        <v>63</v>
      </c>
      <c r="G31" t="s">
        <v>64</v>
      </c>
      <c r="H31" t="s">
        <v>313</v>
      </c>
      <c r="I31" t="s">
        <v>30</v>
      </c>
    </row>
    <row r="32" spans="2:9" x14ac:dyDescent="0.55000000000000004">
      <c r="B32" t="s">
        <v>321</v>
      </c>
      <c r="C32">
        <v>1.79755182370363E-2</v>
      </c>
      <c r="D32">
        <v>5.0470686415577101E-2</v>
      </c>
      <c r="E32">
        <v>0.20934331530325601</v>
      </c>
      <c r="F32">
        <v>26.615384615384599</v>
      </c>
      <c r="G32">
        <v>0</v>
      </c>
      <c r="H32">
        <v>0.35615759391551299</v>
      </c>
      <c r="I32">
        <v>1E-3</v>
      </c>
    </row>
    <row r="33" spans="2:9" x14ac:dyDescent="0.55000000000000004">
      <c r="B33" t="s">
        <v>322</v>
      </c>
      <c r="C33">
        <v>1.41510593169388E-2</v>
      </c>
      <c r="D33">
        <v>2.73321247025268E-2</v>
      </c>
      <c r="E33">
        <v>0.27557101886388802</v>
      </c>
      <c r="F33">
        <v>12.538461538461499</v>
      </c>
      <c r="G33">
        <v>0</v>
      </c>
      <c r="H33">
        <v>0.51774457606036794</v>
      </c>
      <c r="I33">
        <v>1E-3</v>
      </c>
    </row>
    <row r="34" spans="2:9" x14ac:dyDescent="0.55000000000000004">
      <c r="B34" t="s">
        <v>323</v>
      </c>
      <c r="C34">
        <v>1.6874339590102299E-2</v>
      </c>
      <c r="D34">
        <v>3.5877446741289197E-2</v>
      </c>
      <c r="E34">
        <v>0.22738355285811199</v>
      </c>
      <c r="F34">
        <v>12.1538461538461</v>
      </c>
      <c r="G34">
        <v>0</v>
      </c>
      <c r="H34">
        <v>0.47033278905777498</v>
      </c>
      <c r="I34">
        <v>1E-3</v>
      </c>
    </row>
    <row r="35" spans="2:9" x14ac:dyDescent="0.55000000000000004">
      <c r="B35" t="s">
        <v>324</v>
      </c>
      <c r="C35">
        <v>1.1854404130277401E-2</v>
      </c>
      <c r="D35">
        <v>2.2152724463284201E-2</v>
      </c>
      <c r="E35">
        <v>0.30292614476492502</v>
      </c>
      <c r="F35">
        <v>10.4615384615384</v>
      </c>
      <c r="G35">
        <v>0</v>
      </c>
      <c r="H35">
        <v>0.53512172509186695</v>
      </c>
      <c r="I35">
        <v>1E-3</v>
      </c>
    </row>
    <row r="36" spans="2:9" x14ac:dyDescent="0.55000000000000004">
      <c r="B36" t="s">
        <v>325</v>
      </c>
      <c r="C36">
        <v>1.11656653204703E-2</v>
      </c>
      <c r="D36">
        <v>3.9218740159533701E-2</v>
      </c>
      <c r="E36">
        <v>0.32705389568927501</v>
      </c>
      <c r="F36">
        <v>8.6923076923076898</v>
      </c>
      <c r="G36">
        <v>0</v>
      </c>
      <c r="H36">
        <v>0.28470229474610098</v>
      </c>
      <c r="I36">
        <v>1E-3</v>
      </c>
    </row>
    <row r="37" spans="2:9" x14ac:dyDescent="0.55000000000000004">
      <c r="B37" t="s">
        <v>326</v>
      </c>
      <c r="C37">
        <v>9.1548996389330395E-3</v>
      </c>
      <c r="D37">
        <v>2.5284412016839501E-2</v>
      </c>
      <c r="E37">
        <v>0.40446245121664498</v>
      </c>
      <c r="F37">
        <v>8.2307692307692299</v>
      </c>
      <c r="G37">
        <v>0</v>
      </c>
      <c r="H37">
        <v>0.36207682554911003</v>
      </c>
      <c r="I37">
        <v>1E-3</v>
      </c>
    </row>
    <row r="38" spans="2:9" x14ac:dyDescent="0.55000000000000004">
      <c r="B38" t="s">
        <v>327</v>
      </c>
      <c r="C38">
        <v>5.6621601887747999E-3</v>
      </c>
      <c r="D38">
        <v>1.3481332711502999E-2</v>
      </c>
      <c r="E38">
        <v>0.52675386563680104</v>
      </c>
      <c r="F38">
        <v>6.6923076923076898</v>
      </c>
      <c r="G38">
        <v>0</v>
      </c>
      <c r="H38">
        <v>0.42000003337530001</v>
      </c>
      <c r="I38">
        <v>1E-3</v>
      </c>
    </row>
    <row r="39" spans="2:9" x14ac:dyDescent="0.55000000000000004">
      <c r="B39" t="s">
        <v>328</v>
      </c>
      <c r="C39">
        <v>4.9659236565071704E-3</v>
      </c>
      <c r="D39">
        <v>1.42139611322627E-2</v>
      </c>
      <c r="E39">
        <v>0.55483826394662705</v>
      </c>
      <c r="F39">
        <v>3.7692307692307598</v>
      </c>
      <c r="G39">
        <v>0</v>
      </c>
      <c r="H39">
        <v>0.349369441093766</v>
      </c>
      <c r="I39">
        <v>1E-3</v>
      </c>
    </row>
    <row r="40" spans="2:9" x14ac:dyDescent="0.55000000000000004">
      <c r="B40" t="s">
        <v>329</v>
      </c>
      <c r="C40">
        <v>3.6617737934533799E-3</v>
      </c>
      <c r="D40">
        <v>5.5305736926192601E-3</v>
      </c>
      <c r="E40">
        <v>0.60813942866241399</v>
      </c>
      <c r="F40">
        <v>2.9230769230769198</v>
      </c>
      <c r="G40">
        <v>0</v>
      </c>
      <c r="H40">
        <v>0.66209655579495197</v>
      </c>
      <c r="I40">
        <v>1E-3</v>
      </c>
    </row>
    <row r="41" spans="2:9" x14ac:dyDescent="0.55000000000000004">
      <c r="B41" t="s">
        <v>330</v>
      </c>
      <c r="C41">
        <v>3.8587242413511799E-3</v>
      </c>
      <c r="D41">
        <v>1.3584123762958001E-2</v>
      </c>
      <c r="E41">
        <v>0.60030219895438297</v>
      </c>
      <c r="F41">
        <v>2.6923076923076898</v>
      </c>
      <c r="G41">
        <v>0</v>
      </c>
      <c r="H41">
        <v>0.28406132840701498</v>
      </c>
      <c r="I41">
        <v>1E-3</v>
      </c>
    </row>
    <row r="42" spans="2:9" x14ac:dyDescent="0.55000000000000004">
      <c r="B42" t="s">
        <v>331</v>
      </c>
      <c r="C42">
        <v>2.5755917670856102E-3</v>
      </c>
      <c r="D42">
        <v>3.8501611473680301E-3</v>
      </c>
      <c r="E42">
        <v>0.66630679124995695</v>
      </c>
      <c r="F42">
        <v>1.84615384615384</v>
      </c>
      <c r="G42">
        <v>0</v>
      </c>
      <c r="H42">
        <v>0.66895687440155205</v>
      </c>
      <c r="I42">
        <v>1E-3</v>
      </c>
    </row>
    <row r="43" spans="2:9" x14ac:dyDescent="0.55000000000000004">
      <c r="B43" t="s">
        <v>332</v>
      </c>
      <c r="C43">
        <v>2.6286120422970198E-3</v>
      </c>
      <c r="D43">
        <v>6.3403926805539598E-3</v>
      </c>
      <c r="E43">
        <v>0.66075254135776895</v>
      </c>
      <c r="F43">
        <v>1.6153846153846101</v>
      </c>
      <c r="G43">
        <v>0</v>
      </c>
      <c r="H43">
        <v>0.41458189969195303</v>
      </c>
      <c r="I43">
        <v>1E-3</v>
      </c>
    </row>
    <row r="44" spans="2:9" x14ac:dyDescent="0.55000000000000004">
      <c r="B44" t="s">
        <v>333</v>
      </c>
      <c r="C44">
        <v>1.4986323988353399E-3</v>
      </c>
      <c r="D44">
        <v>3.7676027003902602E-3</v>
      </c>
      <c r="E44">
        <v>0.782042532910868</v>
      </c>
      <c r="F44">
        <v>1.6153846153846101</v>
      </c>
      <c r="G44">
        <v>0</v>
      </c>
      <c r="H44">
        <v>0.39776816135101301</v>
      </c>
      <c r="I44">
        <v>1E-3</v>
      </c>
    </row>
    <row r="45" spans="2:9" x14ac:dyDescent="0.55000000000000004">
      <c r="B45" t="s">
        <v>334</v>
      </c>
      <c r="C45">
        <v>3.2004267228959902E-3</v>
      </c>
      <c r="D45">
        <v>1.03704873219211E-2</v>
      </c>
      <c r="E45">
        <v>0.62264266083812903</v>
      </c>
      <c r="F45">
        <v>1.4615384615384599</v>
      </c>
      <c r="G45">
        <v>0</v>
      </c>
      <c r="H45">
        <v>0.30860909652055801</v>
      </c>
      <c r="I45">
        <v>1E-3</v>
      </c>
    </row>
    <row r="46" spans="2:9" x14ac:dyDescent="0.55000000000000004">
      <c r="B46" t="s">
        <v>335</v>
      </c>
      <c r="C46">
        <v>1.5611770498697301E-3</v>
      </c>
      <c r="D46">
        <v>4.4714335722199003E-3</v>
      </c>
      <c r="E46">
        <v>0.76733132862463005</v>
      </c>
      <c r="F46">
        <v>1.3846153846153799</v>
      </c>
      <c r="G46">
        <v>0</v>
      </c>
      <c r="H46">
        <v>0.34914463664829998</v>
      </c>
      <c r="I46">
        <v>1E-3</v>
      </c>
    </row>
    <row r="47" spans="2:9" x14ac:dyDescent="0.55000000000000004">
      <c r="B47" t="s">
        <v>336</v>
      </c>
      <c r="C47">
        <v>2.90399313031713E-3</v>
      </c>
      <c r="D47">
        <v>1.04016743248929E-2</v>
      </c>
      <c r="E47">
        <v>0.64902170106008605</v>
      </c>
      <c r="F47">
        <v>1.2307692307692299</v>
      </c>
      <c r="G47">
        <v>0</v>
      </c>
      <c r="H47">
        <v>0.27918516188950299</v>
      </c>
      <c r="I47">
        <v>1E-3</v>
      </c>
    </row>
    <row r="48" spans="2:9" x14ac:dyDescent="0.55000000000000004">
      <c r="B48" t="s">
        <v>337</v>
      </c>
      <c r="C48">
        <v>1.3118670089576801E-3</v>
      </c>
      <c r="D48">
        <v>4.2890078017332597E-3</v>
      </c>
      <c r="E48">
        <v>0.80596186765592803</v>
      </c>
      <c r="F48">
        <v>1.15384615384615</v>
      </c>
      <c r="G48">
        <v>0</v>
      </c>
      <c r="H48">
        <v>0.30586724706528401</v>
      </c>
      <c r="I48">
        <v>1E-3</v>
      </c>
    </row>
    <row r="49" spans="2:9" x14ac:dyDescent="0.55000000000000004">
      <c r="B49" t="s">
        <v>338</v>
      </c>
      <c r="C49">
        <v>2.5409939890274902E-3</v>
      </c>
      <c r="D49">
        <v>9.1014650342813499E-3</v>
      </c>
      <c r="E49">
        <v>0.67722059526811995</v>
      </c>
      <c r="F49">
        <v>1.07692307692307</v>
      </c>
      <c r="G49">
        <v>0</v>
      </c>
      <c r="H49">
        <v>0.27918516188950299</v>
      </c>
      <c r="I49">
        <v>1E-3</v>
      </c>
    </row>
    <row r="50" spans="2:9" x14ac:dyDescent="0.55000000000000004">
      <c r="B50" t="s">
        <v>339</v>
      </c>
      <c r="C50">
        <v>1.24922649297122E-3</v>
      </c>
      <c r="D50">
        <v>3.7251669151555401E-3</v>
      </c>
      <c r="E50">
        <v>0.818212849388254</v>
      </c>
      <c r="F50">
        <v>1.07692307692307</v>
      </c>
      <c r="G50">
        <v>0</v>
      </c>
      <c r="H50">
        <v>0.33534779015910399</v>
      </c>
      <c r="I50">
        <v>1E-3</v>
      </c>
    </row>
    <row r="51" spans="2:9" x14ac:dyDescent="0.55000000000000004">
      <c r="B51" t="s">
        <v>340</v>
      </c>
      <c r="C51">
        <v>1.2616882684407199E-3</v>
      </c>
      <c r="D51">
        <v>2.4159252682300898E-3</v>
      </c>
      <c r="E51">
        <v>0.81553249302123798</v>
      </c>
      <c r="F51">
        <v>1</v>
      </c>
      <c r="G51">
        <v>0</v>
      </c>
      <c r="H51">
        <v>0.52223811929622999</v>
      </c>
      <c r="I51">
        <v>1E-3</v>
      </c>
    </row>
    <row r="52" spans="2:9" x14ac:dyDescent="0.55000000000000004">
      <c r="B52" t="s">
        <v>341</v>
      </c>
      <c r="C52">
        <v>9.9591922076184896E-4</v>
      </c>
      <c r="D52">
        <v>2.1509387304445302E-3</v>
      </c>
      <c r="E52">
        <v>0.85014497591513005</v>
      </c>
      <c r="F52">
        <v>1</v>
      </c>
      <c r="G52">
        <v>0</v>
      </c>
      <c r="H52">
        <v>0.46301608068400102</v>
      </c>
      <c r="I52">
        <v>1E-3</v>
      </c>
    </row>
    <row r="53" spans="2:9" x14ac:dyDescent="0.55000000000000004">
      <c r="B53" t="s">
        <v>342</v>
      </c>
      <c r="C53">
        <v>2.1779948477378499E-3</v>
      </c>
      <c r="D53">
        <v>7.80125574366973E-3</v>
      </c>
      <c r="E53">
        <v>0.72012561818797405</v>
      </c>
      <c r="F53">
        <v>0.92307692307692302</v>
      </c>
      <c r="G53">
        <v>0</v>
      </c>
      <c r="H53">
        <v>0.27918516188950299</v>
      </c>
      <c r="I53">
        <v>1E-3</v>
      </c>
    </row>
    <row r="54" spans="2:9" x14ac:dyDescent="0.55000000000000004">
      <c r="B54" t="s">
        <v>343</v>
      </c>
      <c r="C54">
        <v>1.38808279893804E-3</v>
      </c>
      <c r="D54">
        <v>2.12309863035976E-3</v>
      </c>
      <c r="E54">
        <v>0.79733302549115603</v>
      </c>
      <c r="F54">
        <v>0.92307692307692302</v>
      </c>
      <c r="G54">
        <v>0</v>
      </c>
      <c r="H54">
        <v>0.65380043069540905</v>
      </c>
      <c r="I54">
        <v>1E-3</v>
      </c>
    </row>
    <row r="55" spans="2:9" x14ac:dyDescent="0.55000000000000004">
      <c r="B55" t="s">
        <v>344</v>
      </c>
      <c r="C55">
        <v>1.99649527709303E-3</v>
      </c>
      <c r="D55">
        <v>7.15115109836392E-3</v>
      </c>
      <c r="E55">
        <v>0.73803269444572095</v>
      </c>
      <c r="F55">
        <v>0.84615384615384603</v>
      </c>
      <c r="G55">
        <v>0</v>
      </c>
      <c r="H55">
        <v>0.27918516188950299</v>
      </c>
      <c r="I55">
        <v>1E-3</v>
      </c>
    </row>
    <row r="56" spans="2:9" x14ac:dyDescent="0.55000000000000004">
      <c r="B56" t="s">
        <v>345</v>
      </c>
      <c r="C56">
        <v>7.4247218044464196E-4</v>
      </c>
      <c r="D56">
        <v>1.8780351056623199E-3</v>
      </c>
      <c r="E56">
        <v>0.88269284391759495</v>
      </c>
      <c r="F56">
        <v>0.84615384615384603</v>
      </c>
      <c r="G56">
        <v>0</v>
      </c>
      <c r="H56">
        <v>0.39534520851397797</v>
      </c>
      <c r="I56">
        <v>1E-3</v>
      </c>
    </row>
    <row r="57" spans="2:9" x14ac:dyDescent="0.55000000000000004">
      <c r="B57" t="s">
        <v>346</v>
      </c>
      <c r="C57">
        <v>1.1992876436113999E-3</v>
      </c>
      <c r="D57">
        <v>3.21986238239303E-3</v>
      </c>
      <c r="E57">
        <v>0.82344688914123998</v>
      </c>
      <c r="F57">
        <v>0.76923076923076905</v>
      </c>
      <c r="G57">
        <v>0</v>
      </c>
      <c r="H57">
        <v>0.37246549733597001</v>
      </c>
      <c r="I57">
        <v>1E-3</v>
      </c>
    </row>
    <row r="58" spans="2:9" x14ac:dyDescent="0.55000000000000004">
      <c r="B58" t="s">
        <v>347</v>
      </c>
      <c r="C58">
        <v>1.09889299556755E-3</v>
      </c>
      <c r="D58">
        <v>3.4827175181229098E-3</v>
      </c>
      <c r="E58">
        <v>0.83557680259766998</v>
      </c>
      <c r="F58">
        <v>0.76923076923076905</v>
      </c>
      <c r="G58">
        <v>0</v>
      </c>
      <c r="H58">
        <v>0.31552745516949798</v>
      </c>
      <c r="I58">
        <v>1E-3</v>
      </c>
    </row>
    <row r="59" spans="2:9" x14ac:dyDescent="0.55000000000000004">
      <c r="B59" t="s">
        <v>348</v>
      </c>
      <c r="C59">
        <v>9.3151504823259701E-4</v>
      </c>
      <c r="D59">
        <v>1.9851676555378401E-3</v>
      </c>
      <c r="E59">
        <v>0.85631596699342205</v>
      </c>
      <c r="F59">
        <v>0.76923076923076905</v>
      </c>
      <c r="G59">
        <v>0</v>
      </c>
      <c r="H59">
        <v>0.46923747001117699</v>
      </c>
      <c r="I59">
        <v>1E-3</v>
      </c>
    </row>
    <row r="60" spans="2:9" x14ac:dyDescent="0.55000000000000004">
      <c r="B60" t="s">
        <v>349</v>
      </c>
      <c r="C60">
        <v>8.2445044613687398E-4</v>
      </c>
      <c r="D60">
        <v>1.1448564163854199E-3</v>
      </c>
      <c r="E60">
        <v>0.86845480921048501</v>
      </c>
      <c r="F60">
        <v>0.76923076923076905</v>
      </c>
      <c r="G60">
        <v>0</v>
      </c>
      <c r="H60">
        <v>0.72013436299711098</v>
      </c>
      <c r="I60">
        <v>1E-3</v>
      </c>
    </row>
    <row r="61" spans="2:9" x14ac:dyDescent="0.55000000000000004">
      <c r="B61" t="s">
        <v>350</v>
      </c>
      <c r="C61">
        <v>6.7134520278318201E-4</v>
      </c>
      <c r="D61">
        <v>1.7466235543977999E-3</v>
      </c>
      <c r="E61">
        <v>0.89552937516168396</v>
      </c>
      <c r="F61">
        <v>0.76923076923076905</v>
      </c>
      <c r="G61">
        <v>0</v>
      </c>
      <c r="H61">
        <v>0.38436742771091598</v>
      </c>
      <c r="I61">
        <v>1E-3</v>
      </c>
    </row>
    <row r="62" spans="2:9" x14ac:dyDescent="0.55000000000000004">
      <c r="B62" t="s">
        <v>351</v>
      </c>
      <c r="C62">
        <v>9.7788760360633894E-4</v>
      </c>
      <c r="D62">
        <v>3.44140867724161E-3</v>
      </c>
      <c r="E62">
        <v>0.85225151404592303</v>
      </c>
      <c r="F62">
        <v>0.69230769230769196</v>
      </c>
      <c r="G62">
        <v>0</v>
      </c>
      <c r="H62">
        <v>0.28415329166605702</v>
      </c>
      <c r="I62">
        <v>1E-3</v>
      </c>
    </row>
    <row r="63" spans="2:9" x14ac:dyDescent="0.55000000000000004">
      <c r="B63" t="s">
        <v>352</v>
      </c>
      <c r="C63">
        <v>8.6595650156212601E-4</v>
      </c>
      <c r="D63">
        <v>2.04074456805991E-3</v>
      </c>
      <c r="E63">
        <v>0.86489314396777195</v>
      </c>
      <c r="F63">
        <v>0.69230769230769196</v>
      </c>
      <c r="G63">
        <v>0</v>
      </c>
      <c r="H63">
        <v>0.424333606035452</v>
      </c>
      <c r="I63">
        <v>1E-3</v>
      </c>
    </row>
    <row r="64" spans="2:9" x14ac:dyDescent="0.55000000000000004">
      <c r="B64" t="s">
        <v>353</v>
      </c>
      <c r="C64">
        <v>1.45199656515856E-3</v>
      </c>
      <c r="D64">
        <v>5.2008371624464797E-3</v>
      </c>
      <c r="E64">
        <v>0.78518795236000705</v>
      </c>
      <c r="F64">
        <v>0.61538461538461497</v>
      </c>
      <c r="G64">
        <v>0</v>
      </c>
      <c r="H64">
        <v>0.27918516188950299</v>
      </c>
      <c r="I64">
        <v>1E-3</v>
      </c>
    </row>
    <row r="65" spans="2:9" x14ac:dyDescent="0.55000000000000004">
      <c r="B65" t="s">
        <v>354</v>
      </c>
      <c r="C65">
        <v>6.2561806377859697E-4</v>
      </c>
      <c r="D65">
        <v>1.51841039318739E-3</v>
      </c>
      <c r="E65">
        <v>0.898941809219861</v>
      </c>
      <c r="F65">
        <v>0.53846153846153799</v>
      </c>
      <c r="G65">
        <v>0</v>
      </c>
      <c r="H65">
        <v>0.41202172125898001</v>
      </c>
      <c r="I65">
        <v>1E-3</v>
      </c>
    </row>
    <row r="66" spans="2:9" x14ac:dyDescent="0.55000000000000004">
      <c r="B66" t="s">
        <v>355</v>
      </c>
      <c r="C66">
        <v>4.29677133040066E-4</v>
      </c>
      <c r="D66">
        <v>1.0214196800281199E-3</v>
      </c>
      <c r="E66">
        <v>0.926652333634431</v>
      </c>
      <c r="F66">
        <v>0.53846153846153799</v>
      </c>
      <c r="G66">
        <v>0</v>
      </c>
      <c r="H66">
        <v>0.42066658929876499</v>
      </c>
      <c r="I66">
        <v>1E-3</v>
      </c>
    </row>
    <row r="67" spans="2:9" x14ac:dyDescent="0.55000000000000004">
      <c r="B67" t="s">
        <v>356</v>
      </c>
      <c r="C67">
        <v>7.1333741557854497E-4</v>
      </c>
      <c r="D67">
        <v>2.2175025211654399E-3</v>
      </c>
      <c r="E67">
        <v>0.89042530656559904</v>
      </c>
      <c r="F67">
        <v>0.46153846153846101</v>
      </c>
      <c r="G67">
        <v>0</v>
      </c>
      <c r="H67">
        <v>0.321685052787962</v>
      </c>
      <c r="I67">
        <v>1E-3</v>
      </c>
    </row>
    <row r="68" spans="2:9" x14ac:dyDescent="0.55000000000000004">
      <c r="B68" t="s">
        <v>357</v>
      </c>
      <c r="C68">
        <v>5.5241198666642103E-4</v>
      </c>
      <c r="D68">
        <v>1.5302185913896101E-3</v>
      </c>
      <c r="E68">
        <v>0.90655059171871299</v>
      </c>
      <c r="F68">
        <v>0.38461538461538403</v>
      </c>
      <c r="G68">
        <v>0</v>
      </c>
      <c r="H68">
        <v>0.36100200963103402</v>
      </c>
      <c r="I68">
        <v>1E-3</v>
      </c>
    </row>
    <row r="69" spans="2:9" x14ac:dyDescent="0.55000000000000004">
      <c r="B69" t="s">
        <v>358</v>
      </c>
      <c r="C69">
        <v>5.3098845851582701E-4</v>
      </c>
      <c r="D69">
        <v>1.8677487230832001E-3</v>
      </c>
      <c r="E69">
        <v>0.91002324342059804</v>
      </c>
      <c r="F69">
        <v>0.38461538461538403</v>
      </c>
      <c r="G69">
        <v>0</v>
      </c>
      <c r="H69">
        <v>0.28429330560017302</v>
      </c>
      <c r="I69">
        <v>1E-3</v>
      </c>
    </row>
    <row r="70" spans="2:9" x14ac:dyDescent="0.55000000000000004">
      <c r="B70" t="s">
        <v>359</v>
      </c>
      <c r="C70">
        <v>4.8193640042758099E-4</v>
      </c>
      <c r="D70">
        <v>1.0697841878493999E-3</v>
      </c>
      <c r="E70">
        <v>0.916984969068807</v>
      </c>
      <c r="F70">
        <v>0.38461538461538403</v>
      </c>
      <c r="G70">
        <v>0</v>
      </c>
      <c r="H70">
        <v>0.45049871357364402</v>
      </c>
      <c r="I70">
        <v>1E-3</v>
      </c>
    </row>
    <row r="71" spans="2:9" x14ac:dyDescent="0.55000000000000004">
      <c r="B71" t="s">
        <v>360</v>
      </c>
      <c r="C71">
        <v>3.89255487773856E-4</v>
      </c>
      <c r="D71">
        <v>1.06458821680737E-3</v>
      </c>
      <c r="E71">
        <v>0.93370727643144202</v>
      </c>
      <c r="F71">
        <v>0.38461538461538403</v>
      </c>
      <c r="G71">
        <v>0</v>
      </c>
      <c r="H71">
        <v>0.36563948541643998</v>
      </c>
      <c r="I71">
        <v>1E-3</v>
      </c>
    </row>
    <row r="72" spans="2:9" x14ac:dyDescent="0.55000000000000004">
      <c r="B72" t="s">
        <v>361</v>
      </c>
      <c r="C72">
        <v>2.9814540087456899E-4</v>
      </c>
      <c r="D72">
        <v>1.0405177939970399E-3</v>
      </c>
      <c r="E72">
        <v>0.95140667808009005</v>
      </c>
      <c r="F72">
        <v>0.38461538461538403</v>
      </c>
      <c r="G72">
        <v>0</v>
      </c>
      <c r="H72">
        <v>0.28653561005359901</v>
      </c>
      <c r="I72">
        <v>1E-3</v>
      </c>
    </row>
    <row r="73" spans="2:9" x14ac:dyDescent="0.55000000000000004">
      <c r="B73" t="s">
        <v>362</v>
      </c>
      <c r="C73">
        <v>5.0746210518026703E-4</v>
      </c>
      <c r="D73">
        <v>1.2726072213774E-3</v>
      </c>
      <c r="E73">
        <v>0.91223609528941196</v>
      </c>
      <c r="F73">
        <v>0.30769230769230699</v>
      </c>
      <c r="G73">
        <v>0</v>
      </c>
      <c r="H73">
        <v>0.39875783875484899</v>
      </c>
      <c r="I73">
        <v>1E-3</v>
      </c>
    </row>
    <row r="74" spans="2:9" x14ac:dyDescent="0.55000000000000004">
      <c r="B74" t="s">
        <v>363</v>
      </c>
      <c r="C74">
        <v>3.9524479010514402E-4</v>
      </c>
      <c r="D74">
        <v>1.3882739879480901E-3</v>
      </c>
      <c r="E74">
        <v>0.93329112613225695</v>
      </c>
      <c r="F74">
        <v>0.30769230769230699</v>
      </c>
      <c r="G74">
        <v>0</v>
      </c>
      <c r="H74">
        <v>0.28470229474610098</v>
      </c>
      <c r="I74">
        <v>1E-3</v>
      </c>
    </row>
    <row r="75" spans="2:9" x14ac:dyDescent="0.55000000000000004">
      <c r="B75" t="s">
        <v>364</v>
      </c>
      <c r="C75">
        <v>3.47326397143411E-4</v>
      </c>
      <c r="D75">
        <v>9.4488267254773297E-4</v>
      </c>
      <c r="E75">
        <v>0.94148391695719902</v>
      </c>
      <c r="F75">
        <v>0.30769230769230699</v>
      </c>
      <c r="G75">
        <v>0</v>
      </c>
      <c r="H75">
        <v>0.36758679911749997</v>
      </c>
      <c r="I75">
        <v>1E-3</v>
      </c>
    </row>
    <row r="76" spans="2:9" x14ac:dyDescent="0.55000000000000004">
      <c r="B76" t="s">
        <v>365</v>
      </c>
      <c r="C76">
        <v>3.4284454017635701E-4</v>
      </c>
      <c r="D76">
        <v>1.0404705753953799E-3</v>
      </c>
      <c r="E76">
        <v>0.94258849045590598</v>
      </c>
      <c r="F76">
        <v>0.30769230769230699</v>
      </c>
      <c r="G76">
        <v>0</v>
      </c>
      <c r="H76">
        <v>0.329509116628381</v>
      </c>
      <c r="I76">
        <v>1E-3</v>
      </c>
    </row>
    <row r="77" spans="2:9" x14ac:dyDescent="0.55000000000000004">
      <c r="B77" t="s">
        <v>366</v>
      </c>
      <c r="C77">
        <v>2.38044040318782E-4</v>
      </c>
      <c r="D77">
        <v>5.7281962469742597E-4</v>
      </c>
      <c r="E77">
        <v>0.96204723631459199</v>
      </c>
      <c r="F77">
        <v>0.30769230769230699</v>
      </c>
      <c r="G77">
        <v>0</v>
      </c>
      <c r="H77">
        <v>0.415565441642335</v>
      </c>
      <c r="I77">
        <v>1E-3</v>
      </c>
    </row>
    <row r="78" spans="2:9" x14ac:dyDescent="0.55000000000000004">
      <c r="B78" t="s">
        <v>367</v>
      </c>
      <c r="C78">
        <v>1.85643790389995E-4</v>
      </c>
      <c r="D78">
        <v>6.4683171997289895E-4</v>
      </c>
      <c r="E78">
        <v>0.97253764816754296</v>
      </c>
      <c r="F78">
        <v>0.30769230769230699</v>
      </c>
      <c r="G78">
        <v>0</v>
      </c>
      <c r="H78">
        <v>0.28700477211874098</v>
      </c>
      <c r="I78">
        <v>1E-3</v>
      </c>
    </row>
    <row r="79" spans="2:9" x14ac:dyDescent="0.55000000000000004">
      <c r="B79" t="s">
        <v>368</v>
      </c>
      <c r="C79">
        <v>5.4449871193446302E-4</v>
      </c>
      <c r="D79">
        <v>1.9503139359174301E-3</v>
      </c>
      <c r="E79">
        <v>0.90713271145496499</v>
      </c>
      <c r="F79">
        <v>0.23076923076923</v>
      </c>
      <c r="G79">
        <v>0</v>
      </c>
      <c r="H79">
        <v>0.27918516188950299</v>
      </c>
      <c r="I79">
        <v>1E-3</v>
      </c>
    </row>
    <row r="80" spans="2:9" x14ac:dyDescent="0.55000000000000004">
      <c r="B80" t="s">
        <v>369</v>
      </c>
      <c r="C80">
        <v>5.4449871193446302E-4</v>
      </c>
      <c r="D80">
        <v>1.9503139359174301E-3</v>
      </c>
      <c r="E80">
        <v>0.90829695092746798</v>
      </c>
      <c r="F80">
        <v>0.23076923076923</v>
      </c>
      <c r="G80">
        <v>0</v>
      </c>
      <c r="H80">
        <v>0.27918516188950299</v>
      </c>
      <c r="I80">
        <v>1E-3</v>
      </c>
    </row>
    <row r="81" spans="2:9" x14ac:dyDescent="0.55000000000000004">
      <c r="B81" t="s">
        <v>370</v>
      </c>
      <c r="C81">
        <v>3.62429784772559E-4</v>
      </c>
      <c r="D81">
        <v>8.7164731468208402E-4</v>
      </c>
      <c r="E81">
        <v>0.93882512954405695</v>
      </c>
      <c r="F81">
        <v>0.23076923076923</v>
      </c>
      <c r="G81">
        <v>0</v>
      </c>
      <c r="H81">
        <v>0.41579865923724901</v>
      </c>
      <c r="I81">
        <v>1E-3</v>
      </c>
    </row>
    <row r="82" spans="2:9" x14ac:dyDescent="0.55000000000000004">
      <c r="B82" t="s">
        <v>371</v>
      </c>
      <c r="C82">
        <v>2.5971018603771601E-4</v>
      </c>
      <c r="D82">
        <v>7.5448821743533004E-4</v>
      </c>
      <c r="E82">
        <v>0.95672297585469801</v>
      </c>
      <c r="F82">
        <v>0.23076923076923</v>
      </c>
      <c r="G82">
        <v>0</v>
      </c>
      <c r="H82">
        <v>0.34422033377874001</v>
      </c>
      <c r="I82">
        <v>1E-3</v>
      </c>
    </row>
    <row r="83" spans="2:9" x14ac:dyDescent="0.55000000000000004">
      <c r="B83" t="s">
        <v>372</v>
      </c>
      <c r="C83">
        <v>2.59640886978477E-4</v>
      </c>
      <c r="D83">
        <v>6.5977900984587204E-4</v>
      </c>
      <c r="E83">
        <v>0.95700055609747003</v>
      </c>
      <c r="F83">
        <v>0.23076923076923</v>
      </c>
      <c r="G83">
        <v>0</v>
      </c>
      <c r="H83">
        <v>0.39352704936631799</v>
      </c>
      <c r="I83">
        <v>1E-3</v>
      </c>
    </row>
    <row r="84" spans="2:9" x14ac:dyDescent="0.55000000000000004">
      <c r="B84" t="s">
        <v>373</v>
      </c>
      <c r="C84">
        <v>2.53941641558784E-4</v>
      </c>
      <c r="D84">
        <v>6.9679707444601096E-4</v>
      </c>
      <c r="E84">
        <v>0.95809217946293401</v>
      </c>
      <c r="F84">
        <v>0.23076923076923</v>
      </c>
      <c r="G84">
        <v>0</v>
      </c>
      <c r="H84">
        <v>0.364441314224347</v>
      </c>
      <c r="I84">
        <v>1E-3</v>
      </c>
    </row>
    <row r="85" spans="2:9" x14ac:dyDescent="0.55000000000000004">
      <c r="B85" t="s">
        <v>374</v>
      </c>
      <c r="C85">
        <v>2.5280959994582799E-4</v>
      </c>
      <c r="D85">
        <v>8.85646315111928E-4</v>
      </c>
      <c r="E85">
        <v>0.95863342141373498</v>
      </c>
      <c r="F85">
        <v>0.23076923076923</v>
      </c>
      <c r="G85">
        <v>0</v>
      </c>
      <c r="H85">
        <v>0.28545209936754301</v>
      </c>
      <c r="I85">
        <v>1E-3</v>
      </c>
    </row>
    <row r="86" spans="2:9" x14ac:dyDescent="0.55000000000000004">
      <c r="B86" t="s">
        <v>375</v>
      </c>
      <c r="C86">
        <v>2.5280959994582799E-4</v>
      </c>
      <c r="D86">
        <v>8.85646315111928E-4</v>
      </c>
      <c r="E86">
        <v>0.95890369837567502</v>
      </c>
      <c r="F86">
        <v>0.23076923076923</v>
      </c>
      <c r="G86">
        <v>0</v>
      </c>
      <c r="H86">
        <v>0.28545209936754301</v>
      </c>
      <c r="I86">
        <v>1E-3</v>
      </c>
    </row>
    <row r="87" spans="2:9" x14ac:dyDescent="0.55000000000000004">
      <c r="B87" t="s">
        <v>376</v>
      </c>
      <c r="C87">
        <v>2.44033342650071E-4</v>
      </c>
      <c r="D87">
        <v>6.9965902208264099E-4</v>
      </c>
      <c r="E87">
        <v>0.96102255414566695</v>
      </c>
      <c r="F87">
        <v>0.23076923076923</v>
      </c>
      <c r="G87">
        <v>0</v>
      </c>
      <c r="H87">
        <v>0.34878895997605902</v>
      </c>
      <c r="I87">
        <v>1E-3</v>
      </c>
    </row>
    <row r="88" spans="2:9" x14ac:dyDescent="0.55000000000000004">
      <c r="B88" t="s">
        <v>377</v>
      </c>
      <c r="C88">
        <v>1.7888724052474099E-4</v>
      </c>
      <c r="D88">
        <v>6.2431067639822898E-4</v>
      </c>
      <c r="E88">
        <v>0.97485950630530604</v>
      </c>
      <c r="F88">
        <v>0.23076923076923</v>
      </c>
      <c r="G88">
        <v>0</v>
      </c>
      <c r="H88">
        <v>0.28653561005359901</v>
      </c>
      <c r="I88">
        <v>1E-3</v>
      </c>
    </row>
    <row r="89" spans="2:9" x14ac:dyDescent="0.55000000000000004">
      <c r="B89" t="s">
        <v>378</v>
      </c>
      <c r="C89">
        <v>1.7888724052474099E-4</v>
      </c>
      <c r="D89">
        <v>6.2431067639822898E-4</v>
      </c>
      <c r="E89">
        <v>0.97505075339366598</v>
      </c>
      <c r="F89">
        <v>0.23076923076923</v>
      </c>
      <c r="G89">
        <v>0</v>
      </c>
      <c r="H89">
        <v>0.28653561005359901</v>
      </c>
      <c r="I89">
        <v>1E-3</v>
      </c>
    </row>
    <row r="90" spans="2:9" x14ac:dyDescent="0.55000000000000004">
      <c r="B90" t="s">
        <v>379</v>
      </c>
      <c r="C90">
        <v>3.6299914128964201E-4</v>
      </c>
      <c r="D90">
        <v>1.3002092906116199E-3</v>
      </c>
      <c r="E90">
        <v>0.93727392724824699</v>
      </c>
      <c r="F90">
        <v>0.15384615384615299</v>
      </c>
      <c r="G90">
        <v>0</v>
      </c>
      <c r="H90">
        <v>0.27918516188950299</v>
      </c>
      <c r="I90">
        <v>1E-3</v>
      </c>
    </row>
    <row r="91" spans="2:9" x14ac:dyDescent="0.55000000000000004">
      <c r="B91" t="s">
        <v>380</v>
      </c>
      <c r="C91">
        <v>3.6299914128964201E-4</v>
      </c>
      <c r="D91">
        <v>1.3002092906116199E-3</v>
      </c>
      <c r="E91">
        <v>0.93766200707241498</v>
      </c>
      <c r="F91">
        <v>0.15384615384615299</v>
      </c>
      <c r="G91">
        <v>0</v>
      </c>
      <c r="H91">
        <v>0.27918516188950299</v>
      </c>
      <c r="I91">
        <v>1E-3</v>
      </c>
    </row>
    <row r="92" spans="2:9" x14ac:dyDescent="0.55000000000000004">
      <c r="B92" t="s">
        <v>381</v>
      </c>
      <c r="C92">
        <v>2.2049852807720999E-4</v>
      </c>
      <c r="D92">
        <v>7.7623564359760404E-4</v>
      </c>
      <c r="E92">
        <v>0.96545930912792799</v>
      </c>
      <c r="F92">
        <v>0.15384615384615299</v>
      </c>
      <c r="G92">
        <v>0</v>
      </c>
      <c r="H92">
        <v>0.28406132840701498</v>
      </c>
      <c r="I92">
        <v>1E-3</v>
      </c>
    </row>
    <row r="93" spans="2:9" x14ac:dyDescent="0.55000000000000004">
      <c r="B93" t="s">
        <v>382</v>
      </c>
      <c r="C93">
        <v>2.16898883258713E-4</v>
      </c>
      <c r="D93">
        <v>5.1743048731524202E-4</v>
      </c>
      <c r="E93">
        <v>0.96638816269340699</v>
      </c>
      <c r="F93">
        <v>0.15384615384615299</v>
      </c>
      <c r="G93">
        <v>0</v>
      </c>
      <c r="H93">
        <v>0.41918458339036502</v>
      </c>
      <c r="I93">
        <v>1E-3</v>
      </c>
    </row>
    <row r="94" spans="2:9" x14ac:dyDescent="0.55000000000000004">
      <c r="B94" t="s">
        <v>383</v>
      </c>
      <c r="C94">
        <v>2.13299238440217E-4</v>
      </c>
      <c r="D94">
        <v>7.50346390287292E-4</v>
      </c>
      <c r="E94">
        <v>0.96707453542842303</v>
      </c>
      <c r="F94">
        <v>0.15384615384615299</v>
      </c>
      <c r="G94">
        <v>0</v>
      </c>
      <c r="H94">
        <v>0.28426769449580302</v>
      </c>
      <c r="I94">
        <v>1E-3</v>
      </c>
    </row>
    <row r="95" spans="2:9" x14ac:dyDescent="0.55000000000000004">
      <c r="B95" t="s">
        <v>384</v>
      </c>
      <c r="C95">
        <v>2.13299238440217E-4</v>
      </c>
      <c r="D95">
        <v>7.50346390287292E-4</v>
      </c>
      <c r="E95">
        <v>0.96730257214127802</v>
      </c>
      <c r="F95">
        <v>0.15384615384615299</v>
      </c>
      <c r="G95">
        <v>0</v>
      </c>
      <c r="H95">
        <v>0.28426769449580302</v>
      </c>
      <c r="I95">
        <v>1E-3</v>
      </c>
    </row>
    <row r="96" spans="2:9" x14ac:dyDescent="0.55000000000000004">
      <c r="B96" t="s">
        <v>385</v>
      </c>
      <c r="C96">
        <v>2.13299238440217E-4</v>
      </c>
      <c r="D96">
        <v>7.50346390287292E-4</v>
      </c>
      <c r="E96">
        <v>0.967530608854133</v>
      </c>
      <c r="F96">
        <v>0.15384615384615299</v>
      </c>
      <c r="G96">
        <v>0</v>
      </c>
      <c r="H96">
        <v>0.28426769449580302</v>
      </c>
      <c r="I96">
        <v>1E-3</v>
      </c>
    </row>
    <row r="97" spans="2:9" x14ac:dyDescent="0.55000000000000004">
      <c r="B97" t="s">
        <v>386</v>
      </c>
      <c r="C97">
        <v>2.12395383406331E-4</v>
      </c>
      <c r="D97">
        <v>7.4709948923328202E-4</v>
      </c>
      <c r="E97">
        <v>0.96935057198622998</v>
      </c>
      <c r="F97">
        <v>0.15384615384615299</v>
      </c>
      <c r="G97">
        <v>0</v>
      </c>
      <c r="H97">
        <v>0.28429330560017302</v>
      </c>
      <c r="I97">
        <v>1E-3</v>
      </c>
    </row>
    <row r="98" spans="2:9" x14ac:dyDescent="0.55000000000000004">
      <c r="B98" t="s">
        <v>387</v>
      </c>
      <c r="C98">
        <v>1.9762239505257201E-4</v>
      </c>
      <c r="D98">
        <v>6.9413699397404796E-4</v>
      </c>
      <c r="E98">
        <v>0.97109470595811098</v>
      </c>
      <c r="F98">
        <v>0.15384615384615299</v>
      </c>
      <c r="G98">
        <v>0</v>
      </c>
      <c r="H98">
        <v>0.28470229474610098</v>
      </c>
      <c r="I98">
        <v>1E-3</v>
      </c>
    </row>
    <row r="99" spans="2:9" x14ac:dyDescent="0.55000000000000004">
      <c r="B99" t="s">
        <v>388</v>
      </c>
      <c r="C99">
        <v>1.9431256138387001E-4</v>
      </c>
      <c r="D99">
        <v>6.8229785800147304E-4</v>
      </c>
      <c r="E99">
        <v>0.97151070698929298</v>
      </c>
      <c r="F99">
        <v>0.15384615384615299</v>
      </c>
      <c r="G99">
        <v>0</v>
      </c>
      <c r="H99">
        <v>0.284791398807895</v>
      </c>
      <c r="I99">
        <v>1E-3</v>
      </c>
    </row>
    <row r="100" spans="2:9" x14ac:dyDescent="0.55000000000000004">
      <c r="B100" t="s">
        <v>389</v>
      </c>
      <c r="C100">
        <v>1.9431256138387001E-4</v>
      </c>
      <c r="D100">
        <v>6.8229785800147304E-4</v>
      </c>
      <c r="E100">
        <v>0.97192618336969205</v>
      </c>
      <c r="F100">
        <v>0.15384615384615299</v>
      </c>
      <c r="G100">
        <v>0</v>
      </c>
      <c r="H100">
        <v>0.284791398807895</v>
      </c>
      <c r="I100">
        <v>1E-3</v>
      </c>
    </row>
    <row r="101" spans="2:9" x14ac:dyDescent="0.55000000000000004">
      <c r="B101" t="s">
        <v>390</v>
      </c>
      <c r="C101">
        <v>1.7537102032986701E-4</v>
      </c>
      <c r="D101">
        <v>6.1472685496062097E-4</v>
      </c>
      <c r="E101">
        <v>0.97561321716004201</v>
      </c>
      <c r="F101">
        <v>0.15384615384615299</v>
      </c>
      <c r="G101">
        <v>0</v>
      </c>
      <c r="H101">
        <v>0.28528283564429802</v>
      </c>
      <c r="I101">
        <v>1E-3</v>
      </c>
    </row>
    <row r="102" spans="2:9" x14ac:dyDescent="0.55000000000000004">
      <c r="B102" t="s">
        <v>391</v>
      </c>
      <c r="C102">
        <v>1.68539733297219E-4</v>
      </c>
      <c r="D102">
        <v>5.9043087674128501E-4</v>
      </c>
      <c r="E102">
        <v>0.97764327693869102</v>
      </c>
      <c r="F102">
        <v>0.15384615384615299</v>
      </c>
      <c r="G102">
        <v>0</v>
      </c>
      <c r="H102">
        <v>0.28545209936754301</v>
      </c>
      <c r="I102">
        <v>1E-3</v>
      </c>
    </row>
    <row r="103" spans="2:9" x14ac:dyDescent="0.55000000000000004">
      <c r="B103" t="s">
        <v>392</v>
      </c>
      <c r="C103">
        <v>1.5260863930066399E-4</v>
      </c>
      <c r="D103">
        <v>3.9468052890148398E-4</v>
      </c>
      <c r="E103">
        <v>0.97976217254970799</v>
      </c>
      <c r="F103">
        <v>0.15384615384615299</v>
      </c>
      <c r="G103">
        <v>0</v>
      </c>
      <c r="H103">
        <v>0.38666371438545499</v>
      </c>
      <c r="I103">
        <v>1E-3</v>
      </c>
    </row>
    <row r="104" spans="2:9" x14ac:dyDescent="0.55000000000000004">
      <c r="B104" t="s">
        <v>393</v>
      </c>
      <c r="C104">
        <v>1.1925816034982701E-4</v>
      </c>
      <c r="D104">
        <v>4.1620711759881901E-4</v>
      </c>
      <c r="E104">
        <v>0.98376811853582702</v>
      </c>
      <c r="F104">
        <v>0.15384615384615299</v>
      </c>
      <c r="G104">
        <v>0</v>
      </c>
      <c r="H104">
        <v>0.28653561005359901</v>
      </c>
      <c r="I104">
        <v>1E-3</v>
      </c>
    </row>
    <row r="105" spans="2:9" x14ac:dyDescent="0.55000000000000004">
      <c r="B105" t="s">
        <v>394</v>
      </c>
      <c r="C105">
        <v>1.1925816034982701E-4</v>
      </c>
      <c r="D105">
        <v>4.1620711759881901E-4</v>
      </c>
      <c r="E105">
        <v>0.98389561659473401</v>
      </c>
      <c r="F105">
        <v>0.15384615384615299</v>
      </c>
      <c r="G105">
        <v>0</v>
      </c>
      <c r="H105">
        <v>0.28653561005359901</v>
      </c>
      <c r="I105">
        <v>1E-3</v>
      </c>
    </row>
    <row r="106" spans="2:9" x14ac:dyDescent="0.55000000000000004">
      <c r="B106" t="s">
        <v>395</v>
      </c>
      <c r="C106">
        <v>9.2821895194997894E-5</v>
      </c>
      <c r="D106">
        <v>3.2341585998644899E-4</v>
      </c>
      <c r="E106">
        <v>0.99431014795193196</v>
      </c>
      <c r="F106">
        <v>0.15384615384615299</v>
      </c>
      <c r="G106">
        <v>0</v>
      </c>
      <c r="H106">
        <v>0.28700477211874098</v>
      </c>
      <c r="I106">
        <v>1E-3</v>
      </c>
    </row>
    <row r="107" spans="2:9" x14ac:dyDescent="0.55000000000000004">
      <c r="B107" t="s">
        <v>396</v>
      </c>
      <c r="C107">
        <v>1.8149957064482101E-4</v>
      </c>
      <c r="D107">
        <v>6.5010464530580996E-4</v>
      </c>
      <c r="E107">
        <v>0.97273168807962695</v>
      </c>
      <c r="F107">
        <v>7.69230769230769E-2</v>
      </c>
      <c r="G107">
        <v>0</v>
      </c>
      <c r="H107">
        <v>0.27918516188950299</v>
      </c>
      <c r="I107">
        <v>1E-3</v>
      </c>
    </row>
    <row r="108" spans="2:9" x14ac:dyDescent="0.55000000000000004">
      <c r="B108" t="s">
        <v>397</v>
      </c>
      <c r="C108">
        <v>1.8149957064482101E-4</v>
      </c>
      <c r="D108">
        <v>6.5010464530580996E-4</v>
      </c>
      <c r="E108">
        <v>0.97331380781587895</v>
      </c>
      <c r="F108">
        <v>7.69230769230769E-2</v>
      </c>
      <c r="G108">
        <v>0</v>
      </c>
      <c r="H108">
        <v>0.27918516188950299</v>
      </c>
      <c r="I108">
        <v>1E-3</v>
      </c>
    </row>
    <row r="109" spans="2:9" x14ac:dyDescent="0.55000000000000004">
      <c r="B109" t="s">
        <v>398</v>
      </c>
      <c r="C109">
        <v>1.8149957064482101E-4</v>
      </c>
      <c r="D109">
        <v>6.5010464530580996E-4</v>
      </c>
      <c r="E109">
        <v>0.97350784772796295</v>
      </c>
      <c r="F109">
        <v>7.69230769230769E-2</v>
      </c>
      <c r="G109">
        <v>0</v>
      </c>
      <c r="H109">
        <v>0.27918516188950299</v>
      </c>
      <c r="I109">
        <v>1E-3</v>
      </c>
    </row>
    <row r="110" spans="2:9" x14ac:dyDescent="0.55000000000000004">
      <c r="B110" t="s">
        <v>399</v>
      </c>
      <c r="C110">
        <v>1.8149957064482101E-4</v>
      </c>
      <c r="D110">
        <v>6.5010464530580996E-4</v>
      </c>
      <c r="E110">
        <v>0.97370188764004595</v>
      </c>
      <c r="F110">
        <v>7.69230769230769E-2</v>
      </c>
      <c r="G110">
        <v>0</v>
      </c>
      <c r="H110">
        <v>0.27918516188950299</v>
      </c>
      <c r="I110">
        <v>1E-3</v>
      </c>
    </row>
    <row r="111" spans="2:9" x14ac:dyDescent="0.55000000000000004">
      <c r="B111" t="s">
        <v>400</v>
      </c>
      <c r="C111">
        <v>1.8149957064482101E-4</v>
      </c>
      <c r="D111">
        <v>6.5010464530580996E-4</v>
      </c>
      <c r="E111">
        <v>0.97389592755212995</v>
      </c>
      <c r="F111">
        <v>7.69230769230769E-2</v>
      </c>
      <c r="G111">
        <v>0</v>
      </c>
      <c r="H111">
        <v>0.27918516188950299</v>
      </c>
      <c r="I111">
        <v>1E-3</v>
      </c>
    </row>
    <row r="112" spans="2:9" x14ac:dyDescent="0.55000000000000004">
      <c r="B112" t="s">
        <v>401</v>
      </c>
      <c r="C112">
        <v>1.8149957064482101E-4</v>
      </c>
      <c r="D112">
        <v>6.5010464530580996E-4</v>
      </c>
      <c r="E112">
        <v>0.97408996746421395</v>
      </c>
      <c r="F112">
        <v>7.69230769230769E-2</v>
      </c>
      <c r="G112">
        <v>0</v>
      </c>
      <c r="H112">
        <v>0.27918516188950299</v>
      </c>
      <c r="I112">
        <v>1E-3</v>
      </c>
    </row>
    <row r="113" spans="2:9" x14ac:dyDescent="0.55000000000000004">
      <c r="B113" t="s">
        <v>402</v>
      </c>
      <c r="C113">
        <v>1.8149957064482101E-4</v>
      </c>
      <c r="D113">
        <v>6.5010464530580996E-4</v>
      </c>
      <c r="E113">
        <v>0.97428400737629794</v>
      </c>
      <c r="F113">
        <v>7.69230769230769E-2</v>
      </c>
      <c r="G113">
        <v>0</v>
      </c>
      <c r="H113">
        <v>0.27918516188950299</v>
      </c>
      <c r="I113">
        <v>1E-3</v>
      </c>
    </row>
    <row r="114" spans="2:9" x14ac:dyDescent="0.55000000000000004">
      <c r="B114" t="s">
        <v>403</v>
      </c>
      <c r="C114">
        <v>1.6811722338868799E-4</v>
      </c>
      <c r="D114">
        <v>5.9996845502663604E-4</v>
      </c>
      <c r="E114">
        <v>0.97854257084250695</v>
      </c>
      <c r="F114">
        <v>7.69230769230769E-2</v>
      </c>
      <c r="G114">
        <v>0</v>
      </c>
      <c r="H114">
        <v>0.28021010434827698</v>
      </c>
      <c r="I114">
        <v>1E-3</v>
      </c>
    </row>
    <row r="115" spans="2:9" x14ac:dyDescent="0.55000000000000004">
      <c r="B115" t="s">
        <v>404</v>
      </c>
      <c r="C115">
        <v>1.6811722338868799E-4</v>
      </c>
      <c r="D115">
        <v>5.9996845502663604E-4</v>
      </c>
      <c r="E115">
        <v>0.97872230378143399</v>
      </c>
      <c r="F115">
        <v>7.69230769230769E-2</v>
      </c>
      <c r="G115">
        <v>0</v>
      </c>
      <c r="H115">
        <v>0.28021010434827698</v>
      </c>
      <c r="I115">
        <v>1E-3</v>
      </c>
    </row>
    <row r="116" spans="2:9" x14ac:dyDescent="0.55000000000000004">
      <c r="B116" t="s">
        <v>405</v>
      </c>
      <c r="C116">
        <v>1.1024926403860499E-4</v>
      </c>
      <c r="D116">
        <v>3.8811782179880202E-4</v>
      </c>
      <c r="E116">
        <v>0.98691212848432297</v>
      </c>
      <c r="F116">
        <v>7.69230769230769E-2</v>
      </c>
      <c r="G116">
        <v>0</v>
      </c>
      <c r="H116">
        <v>0.28406132840701498</v>
      </c>
      <c r="I116">
        <v>1E-3</v>
      </c>
    </row>
    <row r="117" spans="2:9" x14ac:dyDescent="0.55000000000000004">
      <c r="B117" t="s">
        <v>406</v>
      </c>
      <c r="C117">
        <v>1.1024926403860499E-4</v>
      </c>
      <c r="D117">
        <v>3.8811782179880202E-4</v>
      </c>
      <c r="E117">
        <v>0.98738359532967901</v>
      </c>
      <c r="F117">
        <v>7.69230769230769E-2</v>
      </c>
      <c r="G117">
        <v>0</v>
      </c>
      <c r="H117">
        <v>0.28406132840701498</v>
      </c>
      <c r="I117">
        <v>1E-3</v>
      </c>
    </row>
    <row r="118" spans="2:9" x14ac:dyDescent="0.55000000000000004">
      <c r="B118" t="s">
        <v>407</v>
      </c>
      <c r="C118">
        <v>1.1024926403860499E-4</v>
      </c>
      <c r="D118">
        <v>3.8811782179880202E-4</v>
      </c>
      <c r="E118">
        <v>0.98761932875235703</v>
      </c>
      <c r="F118">
        <v>7.69230769230769E-2</v>
      </c>
      <c r="G118">
        <v>0</v>
      </c>
      <c r="H118">
        <v>0.28406132840701498</v>
      </c>
      <c r="I118">
        <v>1E-3</v>
      </c>
    </row>
    <row r="119" spans="2:9" x14ac:dyDescent="0.55000000000000004">
      <c r="B119" t="s">
        <v>408</v>
      </c>
      <c r="C119">
        <v>1.08654178178482E-4</v>
      </c>
      <c r="D119">
        <v>3.8237874191573501E-4</v>
      </c>
      <c r="E119">
        <v>0.98820429310854097</v>
      </c>
      <c r="F119">
        <v>7.69230769230769E-2</v>
      </c>
      <c r="G119">
        <v>0</v>
      </c>
      <c r="H119">
        <v>0.28415329166605702</v>
      </c>
      <c r="I119">
        <v>1E-3</v>
      </c>
    </row>
    <row r="120" spans="2:9" x14ac:dyDescent="0.55000000000000004">
      <c r="B120" t="s">
        <v>409</v>
      </c>
      <c r="C120">
        <v>1.08654178178482E-4</v>
      </c>
      <c r="D120">
        <v>3.8237874191573501E-4</v>
      </c>
      <c r="E120">
        <v>0.98843661594111198</v>
      </c>
      <c r="F120">
        <v>7.69230769230769E-2</v>
      </c>
      <c r="G120">
        <v>0</v>
      </c>
      <c r="H120">
        <v>0.28415329166605702</v>
      </c>
      <c r="I120">
        <v>1E-3</v>
      </c>
    </row>
    <row r="121" spans="2:9" x14ac:dyDescent="0.55000000000000004">
      <c r="B121" t="s">
        <v>410</v>
      </c>
      <c r="C121">
        <v>1.08654178178482E-4</v>
      </c>
      <c r="D121">
        <v>3.8237874191573501E-4</v>
      </c>
      <c r="E121">
        <v>0.988668938773683</v>
      </c>
      <c r="F121">
        <v>7.69230769230769E-2</v>
      </c>
      <c r="G121">
        <v>0</v>
      </c>
      <c r="H121">
        <v>0.28415329166605702</v>
      </c>
      <c r="I121">
        <v>1E-3</v>
      </c>
    </row>
    <row r="122" spans="2:9" x14ac:dyDescent="0.55000000000000004">
      <c r="B122" t="s">
        <v>411</v>
      </c>
      <c r="C122">
        <v>1.08654178178482E-4</v>
      </c>
      <c r="D122">
        <v>3.8237874191573501E-4</v>
      </c>
      <c r="E122">
        <v>0.98890126160625402</v>
      </c>
      <c r="F122">
        <v>7.69230769230769E-2</v>
      </c>
      <c r="G122">
        <v>0</v>
      </c>
      <c r="H122">
        <v>0.28415329166605702</v>
      </c>
      <c r="I122">
        <v>1E-3</v>
      </c>
    </row>
    <row r="123" spans="2:9" x14ac:dyDescent="0.55000000000000004">
      <c r="B123" t="s">
        <v>412</v>
      </c>
      <c r="C123">
        <v>1.06649619220108E-4</v>
      </c>
      <c r="D123">
        <v>3.75173195143646E-4</v>
      </c>
      <c r="E123">
        <v>0.98912929831910901</v>
      </c>
      <c r="F123">
        <v>7.69230769230769E-2</v>
      </c>
      <c r="G123">
        <v>0</v>
      </c>
      <c r="H123">
        <v>0.28426769449580302</v>
      </c>
      <c r="I123">
        <v>1E-3</v>
      </c>
    </row>
    <row r="124" spans="2:9" x14ac:dyDescent="0.55000000000000004">
      <c r="B124" t="s">
        <v>413</v>
      </c>
      <c r="C124">
        <v>1.06649619220108E-4</v>
      </c>
      <c r="D124">
        <v>3.75173195143646E-4</v>
      </c>
      <c r="E124">
        <v>0.989243316675537</v>
      </c>
      <c r="F124">
        <v>7.69230769230769E-2</v>
      </c>
      <c r="G124">
        <v>0</v>
      </c>
      <c r="H124">
        <v>0.28426769449580302</v>
      </c>
      <c r="I124">
        <v>1E-3</v>
      </c>
    </row>
    <row r="125" spans="2:9" x14ac:dyDescent="0.55000000000000004">
      <c r="B125" t="s">
        <v>414</v>
      </c>
      <c r="C125">
        <v>1.06649619220108E-4</v>
      </c>
      <c r="D125">
        <v>3.75173195143646E-4</v>
      </c>
      <c r="E125">
        <v>0.98935733503196399</v>
      </c>
      <c r="F125">
        <v>7.69230769230769E-2</v>
      </c>
      <c r="G125">
        <v>0</v>
      </c>
      <c r="H125">
        <v>0.28426769449580302</v>
      </c>
      <c r="I125">
        <v>1E-3</v>
      </c>
    </row>
    <row r="126" spans="2:9" x14ac:dyDescent="0.55000000000000004">
      <c r="B126" t="s">
        <v>415</v>
      </c>
      <c r="C126">
        <v>1.06649619220108E-4</v>
      </c>
      <c r="D126">
        <v>3.75173195143646E-4</v>
      </c>
      <c r="E126">
        <v>0.98947135338839198</v>
      </c>
      <c r="F126">
        <v>7.69230769230769E-2</v>
      </c>
      <c r="G126">
        <v>0</v>
      </c>
      <c r="H126">
        <v>0.28426769449580302</v>
      </c>
      <c r="I126">
        <v>1E-3</v>
      </c>
    </row>
    <row r="127" spans="2:9" x14ac:dyDescent="0.55000000000000004">
      <c r="B127" t="s">
        <v>416</v>
      </c>
      <c r="C127">
        <v>1.06649619220108E-4</v>
      </c>
      <c r="D127">
        <v>3.75173195143646E-4</v>
      </c>
      <c r="E127">
        <v>0.98969939010124697</v>
      </c>
      <c r="F127">
        <v>7.69230769230769E-2</v>
      </c>
      <c r="G127">
        <v>0</v>
      </c>
      <c r="H127">
        <v>0.28426769449580302</v>
      </c>
      <c r="I127">
        <v>1E-3</v>
      </c>
    </row>
    <row r="128" spans="2:9" x14ac:dyDescent="0.55000000000000004">
      <c r="B128" t="s">
        <v>417</v>
      </c>
      <c r="C128">
        <v>1.06649619220108E-4</v>
      </c>
      <c r="D128">
        <v>3.75173195143646E-4</v>
      </c>
      <c r="E128">
        <v>0.98981340845767496</v>
      </c>
      <c r="F128">
        <v>7.69230769230769E-2</v>
      </c>
      <c r="G128">
        <v>0</v>
      </c>
      <c r="H128">
        <v>0.28426769449580302</v>
      </c>
      <c r="I128">
        <v>1E-3</v>
      </c>
    </row>
    <row r="129" spans="2:9" x14ac:dyDescent="0.55000000000000004">
      <c r="B129" t="s">
        <v>418</v>
      </c>
      <c r="C129">
        <v>1.06197691703165E-4</v>
      </c>
      <c r="D129">
        <v>3.7354974461664101E-4</v>
      </c>
      <c r="E129">
        <v>0.99106448323845098</v>
      </c>
      <c r="F129">
        <v>7.69230769230769E-2</v>
      </c>
      <c r="G129">
        <v>0</v>
      </c>
      <c r="H129">
        <v>0.28429330560017302</v>
      </c>
      <c r="I129">
        <v>1E-3</v>
      </c>
    </row>
    <row r="130" spans="2:9" x14ac:dyDescent="0.55000000000000004">
      <c r="B130" t="s">
        <v>419</v>
      </c>
      <c r="C130">
        <v>9.8811197526286004E-5</v>
      </c>
      <c r="D130">
        <v>3.4706849698702398E-4</v>
      </c>
      <c r="E130">
        <v>0.99337642143717497</v>
      </c>
      <c r="F130">
        <v>7.69230769230769E-2</v>
      </c>
      <c r="G130">
        <v>0</v>
      </c>
      <c r="H130">
        <v>0.28470229474610098</v>
      </c>
      <c r="I130">
        <v>1E-3</v>
      </c>
    </row>
    <row r="131" spans="2:9" x14ac:dyDescent="0.55000000000000004">
      <c r="B131" t="s">
        <v>420</v>
      </c>
      <c r="C131">
        <v>9.8811197526286004E-5</v>
      </c>
      <c r="D131">
        <v>3.4706849698702398E-4</v>
      </c>
      <c r="E131">
        <v>0.99348205979220205</v>
      </c>
      <c r="F131">
        <v>7.69230769230769E-2</v>
      </c>
      <c r="G131">
        <v>0</v>
      </c>
      <c r="H131">
        <v>0.28470229474610098</v>
      </c>
      <c r="I131">
        <v>1E-3</v>
      </c>
    </row>
    <row r="132" spans="2:9" x14ac:dyDescent="0.55000000000000004">
      <c r="B132" t="s">
        <v>421</v>
      </c>
      <c r="C132">
        <v>9.8811197526286004E-5</v>
      </c>
      <c r="D132">
        <v>3.4706849698702398E-4</v>
      </c>
      <c r="E132">
        <v>0.99358769814722803</v>
      </c>
      <c r="F132">
        <v>7.69230769230769E-2</v>
      </c>
      <c r="G132">
        <v>0</v>
      </c>
      <c r="H132">
        <v>0.28470229474610098</v>
      </c>
      <c r="I132">
        <v>1E-3</v>
      </c>
    </row>
    <row r="133" spans="2:9" x14ac:dyDescent="0.55000000000000004">
      <c r="B133" t="s">
        <v>422</v>
      </c>
      <c r="C133">
        <v>9.7156280691935396E-5</v>
      </c>
      <c r="D133">
        <v>3.4114892900073598E-4</v>
      </c>
      <c r="E133">
        <v>0.99369156724232799</v>
      </c>
      <c r="F133">
        <v>7.69230769230769E-2</v>
      </c>
      <c r="G133">
        <v>0</v>
      </c>
      <c r="H133">
        <v>0.284791398807895</v>
      </c>
      <c r="I133">
        <v>1E-3</v>
      </c>
    </row>
    <row r="134" spans="2:9" x14ac:dyDescent="0.55000000000000004">
      <c r="B134" t="s">
        <v>423</v>
      </c>
      <c r="C134">
        <v>9.7156280691935396E-5</v>
      </c>
      <c r="D134">
        <v>3.4114892900073598E-4</v>
      </c>
      <c r="E134">
        <v>0.99379543633742695</v>
      </c>
      <c r="F134">
        <v>7.69230769230769E-2</v>
      </c>
      <c r="G134">
        <v>0</v>
      </c>
      <c r="H134">
        <v>0.284791398807895</v>
      </c>
      <c r="I134">
        <v>1E-3</v>
      </c>
    </row>
    <row r="135" spans="2:9" x14ac:dyDescent="0.55000000000000004">
      <c r="B135" t="s">
        <v>424</v>
      </c>
      <c r="C135">
        <v>9.7156280691935396E-5</v>
      </c>
      <c r="D135">
        <v>3.4114892900073598E-4</v>
      </c>
      <c r="E135">
        <v>0.99389930543252702</v>
      </c>
      <c r="F135">
        <v>7.69230769230769E-2</v>
      </c>
      <c r="G135">
        <v>0</v>
      </c>
      <c r="H135">
        <v>0.284791398807895</v>
      </c>
      <c r="I135">
        <v>1E-3</v>
      </c>
    </row>
    <row r="136" spans="2:9" x14ac:dyDescent="0.55000000000000004">
      <c r="B136" t="s">
        <v>425</v>
      </c>
      <c r="C136">
        <v>9.7156280691935396E-5</v>
      </c>
      <c r="D136">
        <v>3.4114892900073598E-4</v>
      </c>
      <c r="E136">
        <v>0.99400317452762699</v>
      </c>
      <c r="F136">
        <v>7.69230769230769E-2</v>
      </c>
      <c r="G136">
        <v>0</v>
      </c>
      <c r="H136">
        <v>0.284791398807895</v>
      </c>
      <c r="I136">
        <v>1E-3</v>
      </c>
    </row>
    <row r="137" spans="2:9" x14ac:dyDescent="0.55000000000000004">
      <c r="B137" t="s">
        <v>426</v>
      </c>
      <c r="C137">
        <v>9.7156280691935396E-5</v>
      </c>
      <c r="D137">
        <v>3.4114892900073598E-4</v>
      </c>
      <c r="E137">
        <v>0.99410704362272695</v>
      </c>
      <c r="F137">
        <v>7.69230769230769E-2</v>
      </c>
      <c r="G137">
        <v>0</v>
      </c>
      <c r="H137">
        <v>0.284791398807895</v>
      </c>
      <c r="I137">
        <v>1E-3</v>
      </c>
    </row>
    <row r="138" spans="2:9" x14ac:dyDescent="0.55000000000000004">
      <c r="B138" t="s">
        <v>427</v>
      </c>
      <c r="C138">
        <v>8.7685510164933801E-5</v>
      </c>
      <c r="D138">
        <v>3.0736342748031E-4</v>
      </c>
      <c r="E138">
        <v>0.99487810299135204</v>
      </c>
      <c r="F138">
        <v>7.69230769230769E-2</v>
      </c>
      <c r="G138">
        <v>0</v>
      </c>
      <c r="H138">
        <v>0.28528283564429802</v>
      </c>
      <c r="I138">
        <v>1E-3</v>
      </c>
    </row>
    <row r="139" spans="2:9" x14ac:dyDescent="0.55000000000000004">
      <c r="B139" t="s">
        <v>428</v>
      </c>
      <c r="C139">
        <v>8.7685510164933801E-5</v>
      </c>
      <c r="D139">
        <v>3.0736342748031E-4</v>
      </c>
      <c r="E139">
        <v>0.99506559091347802</v>
      </c>
      <c r="F139">
        <v>7.69230769230769E-2</v>
      </c>
      <c r="G139">
        <v>0</v>
      </c>
      <c r="H139">
        <v>0.28528283564429802</v>
      </c>
      <c r="I139">
        <v>1E-3</v>
      </c>
    </row>
    <row r="140" spans="2:9" x14ac:dyDescent="0.55000000000000004">
      <c r="B140" t="s">
        <v>429</v>
      </c>
      <c r="C140">
        <v>8.7685510164933801E-5</v>
      </c>
      <c r="D140">
        <v>3.0736342748031E-4</v>
      </c>
      <c r="E140">
        <v>0.99515933487454</v>
      </c>
      <c r="F140">
        <v>7.69230769230769E-2</v>
      </c>
      <c r="G140">
        <v>0</v>
      </c>
      <c r="H140">
        <v>0.28528283564429802</v>
      </c>
      <c r="I140">
        <v>1E-3</v>
      </c>
    </row>
    <row r="141" spans="2:9" x14ac:dyDescent="0.55000000000000004">
      <c r="B141" t="s">
        <v>430</v>
      </c>
      <c r="C141">
        <v>8.7685510164933801E-5</v>
      </c>
      <c r="D141">
        <v>3.0736342748031E-4</v>
      </c>
      <c r="E141">
        <v>0.99525307883560299</v>
      </c>
      <c r="F141">
        <v>7.69230769230769E-2</v>
      </c>
      <c r="G141">
        <v>0</v>
      </c>
      <c r="H141">
        <v>0.28528283564429802</v>
      </c>
      <c r="I141">
        <v>1E-3</v>
      </c>
    </row>
    <row r="142" spans="2:9" x14ac:dyDescent="0.55000000000000004">
      <c r="B142" t="s">
        <v>431</v>
      </c>
      <c r="C142">
        <v>8.4269866648609501E-5</v>
      </c>
      <c r="D142">
        <v>2.9521543837064202E-4</v>
      </c>
      <c r="E142">
        <v>0.99637403765018995</v>
      </c>
      <c r="F142">
        <v>7.69230769230769E-2</v>
      </c>
      <c r="G142">
        <v>0</v>
      </c>
      <c r="H142">
        <v>0.28545209936754301</v>
      </c>
      <c r="I142">
        <v>1E-3</v>
      </c>
    </row>
    <row r="143" spans="2:9" x14ac:dyDescent="0.55000000000000004">
      <c r="B143" t="s">
        <v>432</v>
      </c>
      <c r="C143">
        <v>8.4269866648609501E-5</v>
      </c>
      <c r="D143">
        <v>2.9521543837064202E-4</v>
      </c>
      <c r="E143">
        <v>0.996464129970837</v>
      </c>
      <c r="F143">
        <v>7.69230769230769E-2</v>
      </c>
      <c r="G143">
        <v>0</v>
      </c>
      <c r="H143">
        <v>0.28545209936754301</v>
      </c>
      <c r="I143">
        <v>1E-3</v>
      </c>
    </row>
    <row r="144" spans="2:9" x14ac:dyDescent="0.55000000000000004">
      <c r="B144" t="s">
        <v>433</v>
      </c>
      <c r="C144">
        <v>8.4269866648609501E-5</v>
      </c>
      <c r="D144">
        <v>2.9521543837064202E-4</v>
      </c>
      <c r="E144">
        <v>0.99673440693277804</v>
      </c>
      <c r="F144">
        <v>7.69230769230769E-2</v>
      </c>
      <c r="G144">
        <v>0</v>
      </c>
      <c r="H144">
        <v>0.28545209936754301</v>
      </c>
      <c r="I144">
        <v>1E-3</v>
      </c>
    </row>
    <row r="145" spans="2:9" x14ac:dyDescent="0.55000000000000004">
      <c r="B145" t="s">
        <v>434</v>
      </c>
      <c r="C145">
        <v>5.9629080174913903E-5</v>
      </c>
      <c r="D145">
        <v>2.0810355879940899E-4</v>
      </c>
      <c r="E145">
        <v>0.99929153729616205</v>
      </c>
      <c r="F145">
        <v>7.69230769230769E-2</v>
      </c>
      <c r="G145">
        <v>0</v>
      </c>
      <c r="H145">
        <v>0.28653561005359901</v>
      </c>
      <c r="I145">
        <v>1E-3</v>
      </c>
    </row>
    <row r="146" spans="2:9" x14ac:dyDescent="0.55000000000000004">
      <c r="B146" t="s">
        <v>435</v>
      </c>
      <c r="C146">
        <v>5.9629080174913903E-5</v>
      </c>
      <c r="D146">
        <v>2.0810355879940899E-4</v>
      </c>
      <c r="E146">
        <v>0.99954653341397404</v>
      </c>
      <c r="F146">
        <v>7.69230769230769E-2</v>
      </c>
      <c r="G146">
        <v>0</v>
      </c>
      <c r="H146">
        <v>0.28653561005359901</v>
      </c>
      <c r="I146">
        <v>1E-3</v>
      </c>
    </row>
    <row r="147" spans="2:9" x14ac:dyDescent="0.55000000000000004">
      <c r="B147" t="s">
        <v>436</v>
      </c>
      <c r="C147">
        <v>5.9629080174913903E-5</v>
      </c>
      <c r="D147">
        <v>2.0810355879940899E-4</v>
      </c>
      <c r="E147">
        <v>0.99967403147288103</v>
      </c>
      <c r="F147">
        <v>7.69230769230769E-2</v>
      </c>
      <c r="G147">
        <v>0</v>
      </c>
      <c r="H147">
        <v>0.28653561005359901</v>
      </c>
      <c r="I147">
        <v>1E-3</v>
      </c>
    </row>
    <row r="148" spans="2:9" x14ac:dyDescent="0.55000000000000004">
      <c r="B148" t="s">
        <v>437</v>
      </c>
      <c r="C148">
        <v>5.9629080174913903E-5</v>
      </c>
      <c r="D148">
        <v>2.0810355879940899E-4</v>
      </c>
      <c r="E148">
        <v>0.99980152953178703</v>
      </c>
      <c r="F148">
        <v>7.69230769230769E-2</v>
      </c>
      <c r="G148">
        <v>0</v>
      </c>
      <c r="H148">
        <v>0.28653561005359901</v>
      </c>
      <c r="I148">
        <v>1E-3</v>
      </c>
    </row>
    <row r="149" spans="2:9" x14ac:dyDescent="0.55000000000000004">
      <c r="B149" t="s">
        <v>438</v>
      </c>
      <c r="C149">
        <v>4.6410947597498899E-5</v>
      </c>
      <c r="D149">
        <v>1.6170792999322401E-4</v>
      </c>
      <c r="E149">
        <v>0.99995038238294698</v>
      </c>
      <c r="F149">
        <v>7.69230769230769E-2</v>
      </c>
      <c r="G149">
        <v>0</v>
      </c>
      <c r="H149">
        <v>0.28700477211874098</v>
      </c>
      <c r="I149">
        <v>1E-3</v>
      </c>
    </row>
    <row r="150" spans="2:9" x14ac:dyDescent="0.55000000000000004">
      <c r="B150" t="s">
        <v>439</v>
      </c>
      <c r="C150">
        <v>4.6410947597498899E-5</v>
      </c>
      <c r="D150">
        <v>1.6170792999322401E-4</v>
      </c>
      <c r="E150">
        <v>1</v>
      </c>
      <c r="F150">
        <v>7.69230769230769E-2</v>
      </c>
      <c r="G150">
        <v>0</v>
      </c>
      <c r="H150">
        <v>0.28700477211874098</v>
      </c>
      <c r="I150">
        <v>1E-3</v>
      </c>
    </row>
    <row r="151" spans="2:9" x14ac:dyDescent="0.55000000000000004">
      <c r="B151" t="s">
        <v>440</v>
      </c>
      <c r="C151">
        <v>2.1067466662152302E-3</v>
      </c>
      <c r="D151">
        <v>7.3803859592660699E-3</v>
      </c>
      <c r="E151">
        <v>0.72929930547230803</v>
      </c>
      <c r="F151">
        <v>1.92307692307692</v>
      </c>
      <c r="G151">
        <v>0</v>
      </c>
      <c r="H151">
        <v>0.28545209936754301</v>
      </c>
      <c r="I151">
        <v>2E-3</v>
      </c>
    </row>
    <row r="152" spans="2:9" x14ac:dyDescent="0.55000000000000004">
      <c r="B152" t="s">
        <v>441</v>
      </c>
      <c r="C152">
        <v>4.00128424877841E-4</v>
      </c>
      <c r="D152">
        <v>7.6916744264846602E-4</v>
      </c>
      <c r="E152">
        <v>0.93286857271215096</v>
      </c>
      <c r="F152">
        <v>0.23076923076923</v>
      </c>
      <c r="G152">
        <v>0</v>
      </c>
      <c r="H152">
        <v>0.52020977838074201</v>
      </c>
      <c r="I152">
        <v>2E-3</v>
      </c>
    </row>
    <row r="153" spans="2:9" x14ac:dyDescent="0.55000000000000004">
      <c r="B153" t="s">
        <v>442</v>
      </c>
      <c r="C153">
        <v>1.57604669974893E-2</v>
      </c>
      <c r="D153">
        <v>5.1866293725661997E-2</v>
      </c>
      <c r="E153">
        <v>0.24423295707283599</v>
      </c>
      <c r="F153">
        <v>19.846153846153801</v>
      </c>
      <c r="G153">
        <v>0</v>
      </c>
      <c r="H153">
        <v>0.30386722985936998</v>
      </c>
      <c r="I153">
        <v>3.0000000000000001E-3</v>
      </c>
    </row>
    <row r="154" spans="2:9" x14ac:dyDescent="0.55000000000000004">
      <c r="B154" t="s">
        <v>443</v>
      </c>
      <c r="C154">
        <v>3.0723965712653201E-4</v>
      </c>
      <c r="D154">
        <v>5.8190368384429298E-4</v>
      </c>
      <c r="E154">
        <v>0.94947343603566803</v>
      </c>
      <c r="F154">
        <v>0.23076923076923</v>
      </c>
      <c r="G154">
        <v>0</v>
      </c>
      <c r="H154">
        <v>0.52799056898348096</v>
      </c>
      <c r="I154">
        <v>4.0000000000000001E-3</v>
      </c>
    </row>
    <row r="155" spans="2:9" x14ac:dyDescent="0.55000000000000004">
      <c r="B155" t="s">
        <v>444</v>
      </c>
      <c r="C155">
        <v>1.0713688163903E-3</v>
      </c>
      <c r="D155">
        <v>1.74618464279455E-3</v>
      </c>
      <c r="E155">
        <v>0.83788421735542296</v>
      </c>
      <c r="F155">
        <v>1.07692307692307</v>
      </c>
      <c r="G155">
        <v>0</v>
      </c>
      <c r="H155">
        <v>0.61354841299927598</v>
      </c>
      <c r="I155">
        <v>6.0000000000000001E-3</v>
      </c>
    </row>
    <row r="156" spans="2:9" x14ac:dyDescent="0.55000000000000004">
      <c r="B156" t="s">
        <v>445</v>
      </c>
      <c r="C156">
        <v>1.52476199228173E-3</v>
      </c>
      <c r="D156">
        <v>3.1556591099798199E-3</v>
      </c>
      <c r="E156">
        <v>0.77719683097782299</v>
      </c>
      <c r="F156">
        <v>0.92307692307692302</v>
      </c>
      <c r="G156">
        <v>0</v>
      </c>
      <c r="H156">
        <v>0.48318336649850702</v>
      </c>
      <c r="I156">
        <v>6.0000000000000001E-3</v>
      </c>
    </row>
    <row r="157" spans="2:9" x14ac:dyDescent="0.55000000000000004">
      <c r="B157" t="s">
        <v>446</v>
      </c>
      <c r="C157">
        <v>4.5296165708330599E-4</v>
      </c>
      <c r="D157">
        <v>9.0035995010035797E-4</v>
      </c>
      <c r="E157">
        <v>0.92194933395526402</v>
      </c>
      <c r="F157">
        <v>0.30769230769230699</v>
      </c>
      <c r="G157">
        <v>0</v>
      </c>
      <c r="H157">
        <v>0.50308952217700997</v>
      </c>
      <c r="I157">
        <v>0.02</v>
      </c>
    </row>
    <row r="158" spans="2:9" x14ac:dyDescent="0.55000000000000004">
      <c r="B158" t="s">
        <v>447</v>
      </c>
      <c r="C158">
        <v>6.3041304800801699E-3</v>
      </c>
      <c r="D158">
        <v>1.02831091239918E-2</v>
      </c>
      <c r="E158">
        <v>0.48777532540179902</v>
      </c>
      <c r="F158">
        <v>5.3076923076923004</v>
      </c>
      <c r="G158">
        <v>0</v>
      </c>
      <c r="H158">
        <v>0.61305684925309301</v>
      </c>
      <c r="I158">
        <v>2.1999999999999999E-2</v>
      </c>
    </row>
    <row r="159" spans="2:9" x14ac:dyDescent="0.55000000000000004">
      <c r="B159" t="s">
        <v>448</v>
      </c>
      <c r="C159">
        <v>1.1265478645641699E-3</v>
      </c>
      <c r="D159">
        <v>2.4162267673069498E-3</v>
      </c>
      <c r="E159">
        <v>0.83080633715549901</v>
      </c>
      <c r="F159">
        <v>0.84615384615384603</v>
      </c>
      <c r="G159">
        <v>0</v>
      </c>
      <c r="H159">
        <v>0.46624260595365702</v>
      </c>
      <c r="I159">
        <v>0.03</v>
      </c>
    </row>
    <row r="160" spans="2:9" x14ac:dyDescent="0.55000000000000004">
      <c r="B160" t="s">
        <v>449</v>
      </c>
      <c r="C160">
        <v>5.0496786202672696E-4</v>
      </c>
      <c r="D160">
        <v>1.09178549055016E-3</v>
      </c>
      <c r="E160">
        <v>0.91385733478307196</v>
      </c>
      <c r="F160">
        <v>0.38461538461538403</v>
      </c>
      <c r="G160">
        <v>0</v>
      </c>
      <c r="H160">
        <v>0.46251563736413798</v>
      </c>
      <c r="I160">
        <v>3.7999999999999999E-2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44123-408E-4103-8F0E-DEF1F01445B8}">
  <dimension ref="B2:I25"/>
  <sheetViews>
    <sheetView zoomScale="85" zoomScaleNormal="85" workbookViewId="0">
      <selection activeCell="B25" sqref="B25"/>
    </sheetView>
  </sheetViews>
  <sheetFormatPr defaultRowHeight="15.3" x14ac:dyDescent="0.55000000000000004"/>
  <cols>
    <col min="1" max="1" width="8.83984375" style="1"/>
    <col min="2" max="2" width="23.20703125" style="1" customWidth="1"/>
    <col min="3" max="4" width="8.83984375" style="1"/>
    <col min="5" max="7" width="12.26171875" style="1" customWidth="1"/>
    <col min="8" max="16384" width="8.83984375" style="1"/>
  </cols>
  <sheetData>
    <row r="2" spans="2:9" x14ac:dyDescent="0.55000000000000004">
      <c r="B2" s="59" t="s">
        <v>291</v>
      </c>
      <c r="C2" s="3"/>
      <c r="D2" s="3"/>
      <c r="E2" s="3"/>
      <c r="F2" s="3"/>
      <c r="G2" s="3"/>
      <c r="H2" s="3"/>
      <c r="I2" s="3"/>
    </row>
    <row r="3" spans="2:9" ht="45" x14ac:dyDescent="0.55000000000000004">
      <c r="B3" s="13" t="s">
        <v>2</v>
      </c>
      <c r="C3" s="14" t="s">
        <v>172</v>
      </c>
      <c r="D3" s="14" t="s">
        <v>173</v>
      </c>
      <c r="E3" s="17" t="s">
        <v>174</v>
      </c>
      <c r="F3" s="49" t="s">
        <v>221</v>
      </c>
      <c r="G3" s="49" t="s">
        <v>222</v>
      </c>
      <c r="H3" s="14" t="s">
        <v>175</v>
      </c>
      <c r="I3" s="15" t="s">
        <v>30</v>
      </c>
    </row>
    <row r="4" spans="2:9" x14ac:dyDescent="0.55000000000000004">
      <c r="B4" s="35" t="s">
        <v>176</v>
      </c>
      <c r="C4" s="11">
        <v>6.2360394401335603E-2</v>
      </c>
      <c r="D4" s="11">
        <v>0.16725286395771799</v>
      </c>
      <c r="E4" s="11">
        <v>6.6026367237133801E-2</v>
      </c>
      <c r="F4" s="37">
        <v>0</v>
      </c>
      <c r="G4" s="37">
        <v>267.375</v>
      </c>
      <c r="H4" s="11">
        <v>0.37285098099785302</v>
      </c>
      <c r="I4" s="11">
        <v>0.35799999999999998</v>
      </c>
    </row>
    <row r="5" spans="2:9" x14ac:dyDescent="0.55000000000000004">
      <c r="B5" s="35" t="s">
        <v>180</v>
      </c>
      <c r="C5" s="11">
        <v>4.1520734838055601E-2</v>
      </c>
      <c r="D5" s="11">
        <v>0.10802414595969501</v>
      </c>
      <c r="E5" s="11">
        <v>0.109987976407367</v>
      </c>
      <c r="F5" s="37">
        <v>0</v>
      </c>
      <c r="G5" s="37">
        <v>78.25</v>
      </c>
      <c r="H5" s="11">
        <v>0.384365314524656</v>
      </c>
      <c r="I5" s="11">
        <v>0.38</v>
      </c>
    </row>
    <row r="6" spans="2:9" x14ac:dyDescent="0.55000000000000004">
      <c r="B6" s="35" t="s">
        <v>189</v>
      </c>
      <c r="C6" s="11">
        <v>1.8329401196541001E-2</v>
      </c>
      <c r="D6" s="11">
        <v>3.52227732880082E-2</v>
      </c>
      <c r="E6" s="11">
        <v>0.129394905857666</v>
      </c>
      <c r="F6" s="37">
        <v>13.125</v>
      </c>
      <c r="G6" s="37">
        <v>27.875</v>
      </c>
      <c r="H6" s="11">
        <v>0.52038495227692305</v>
      </c>
      <c r="I6" s="11">
        <v>0.16700000000000001</v>
      </c>
    </row>
    <row r="7" spans="2:9" x14ac:dyDescent="0.55000000000000004">
      <c r="B7" s="35" t="s">
        <v>183</v>
      </c>
      <c r="C7" s="11">
        <v>1.7944833345354499E-2</v>
      </c>
      <c r="D7" s="11">
        <v>2.2959973638285801E-2</v>
      </c>
      <c r="E7" s="11">
        <v>0.14839465991381101</v>
      </c>
      <c r="F7" s="37">
        <v>0</v>
      </c>
      <c r="G7" s="37">
        <v>27.25</v>
      </c>
      <c r="H7" s="11">
        <v>0.78157029394108102</v>
      </c>
      <c r="I7" s="11">
        <v>0.33400000000000002</v>
      </c>
    </row>
    <row r="8" spans="2:9" x14ac:dyDescent="0.55000000000000004">
      <c r="B8" s="35" t="s">
        <v>190</v>
      </c>
      <c r="C8" s="11">
        <v>1.7392824264611299E-2</v>
      </c>
      <c r="D8" s="11">
        <v>3.3881189233821302E-2</v>
      </c>
      <c r="E8" s="11">
        <v>0.16680995399927501</v>
      </c>
      <c r="F8" s="37">
        <v>23</v>
      </c>
      <c r="G8" s="37">
        <v>0</v>
      </c>
      <c r="H8" s="11">
        <v>0.51334751400193701</v>
      </c>
      <c r="I8" s="11">
        <v>0.13800000000000001</v>
      </c>
    </row>
    <row r="9" spans="2:9" x14ac:dyDescent="0.55000000000000004">
      <c r="B9" s="35" t="s">
        <v>192</v>
      </c>
      <c r="C9" s="11">
        <v>1.6539506672906702E-2</v>
      </c>
      <c r="D9" s="11">
        <v>3.5722981996284799E-2</v>
      </c>
      <c r="E9" s="11">
        <v>0.184321766616724</v>
      </c>
      <c r="F9" s="37">
        <v>40.5</v>
      </c>
      <c r="G9" s="37">
        <v>3.75</v>
      </c>
      <c r="H9" s="11">
        <v>0.46299344983648899</v>
      </c>
      <c r="I9" s="11">
        <v>0.14699999999999999</v>
      </c>
    </row>
    <row r="10" spans="2:9" x14ac:dyDescent="0.55000000000000004">
      <c r="B10" s="36" t="s">
        <v>181</v>
      </c>
      <c r="C10" s="12">
        <v>1.5239610644723499E-2</v>
      </c>
      <c r="D10" s="12">
        <v>3.5258059591047101E-2</v>
      </c>
      <c r="E10" s="12">
        <v>0.200457266378058</v>
      </c>
      <c r="F10" s="38">
        <v>0</v>
      </c>
      <c r="G10" s="38">
        <v>31.5</v>
      </c>
      <c r="H10" s="12">
        <v>0.43223055441750002</v>
      </c>
      <c r="I10" s="12">
        <v>0.63100000000000001</v>
      </c>
    </row>
    <row r="11" spans="2:9" x14ac:dyDescent="0.55000000000000004">
      <c r="C11" s="7"/>
      <c r="D11" s="7"/>
      <c r="E11" s="7"/>
      <c r="F11" s="7"/>
      <c r="G11" s="7"/>
      <c r="H11" s="7"/>
      <c r="I11" s="7"/>
    </row>
    <row r="13" spans="2:9" x14ac:dyDescent="0.55000000000000004">
      <c r="B13" s="1" t="s">
        <v>217</v>
      </c>
      <c r="F13" s="1" t="s">
        <v>63</v>
      </c>
      <c r="G13" s="1" t="s">
        <v>64</v>
      </c>
    </row>
    <row r="14" spans="2:9" x14ac:dyDescent="0.55000000000000004">
      <c r="B14" s="1" t="s">
        <v>218</v>
      </c>
      <c r="F14" s="1" t="s">
        <v>221</v>
      </c>
      <c r="G14" s="1" t="s">
        <v>222</v>
      </c>
    </row>
    <row r="15" spans="2:9" x14ac:dyDescent="0.55000000000000004">
      <c r="B15" s="1" t="s">
        <v>219</v>
      </c>
    </row>
    <row r="16" spans="2:9" x14ac:dyDescent="0.55000000000000004">
      <c r="B16" s="1" t="s">
        <v>220</v>
      </c>
    </row>
    <row r="18" spans="2:9" x14ac:dyDescent="0.55000000000000004">
      <c r="B18" s="1" t="s">
        <v>452</v>
      </c>
    </row>
    <row r="19" spans="2:9" x14ac:dyDescent="0.55000000000000004">
      <c r="B19" s="1" t="s">
        <v>453</v>
      </c>
    </row>
    <row r="21" spans="2:9" x14ac:dyDescent="0.55000000000000004">
      <c r="B21" s="1" t="s">
        <v>457</v>
      </c>
    </row>
    <row r="22" spans="2:9" x14ac:dyDescent="0.55000000000000004">
      <c r="B22" s="1" t="s">
        <v>456</v>
      </c>
    </row>
    <row r="23" spans="2:9" x14ac:dyDescent="0.55000000000000004">
      <c r="B23" s="1" t="s">
        <v>309</v>
      </c>
      <c r="C23" s="1" t="s">
        <v>310</v>
      </c>
      <c r="D23" s="1" t="s">
        <v>311</v>
      </c>
      <c r="E23" s="1" t="s">
        <v>312</v>
      </c>
      <c r="F23" s="1" t="s">
        <v>63</v>
      </c>
      <c r="G23" s="1" t="s">
        <v>64</v>
      </c>
      <c r="H23" s="1" t="s">
        <v>313</v>
      </c>
      <c r="I23" s="1" t="s">
        <v>30</v>
      </c>
    </row>
    <row r="24" spans="2:9" x14ac:dyDescent="0.55000000000000004">
      <c r="B24" s="1" t="s">
        <v>454</v>
      </c>
      <c r="C24" s="1">
        <v>1.1352232217640801E-3</v>
      </c>
      <c r="D24" s="1">
        <v>1.6414086385866901E-3</v>
      </c>
      <c r="E24" s="1">
        <v>0.839747124876566</v>
      </c>
      <c r="F24" s="1">
        <v>1.875</v>
      </c>
      <c r="G24" s="1">
        <v>0</v>
      </c>
      <c r="H24" s="1">
        <v>0.69161523527836999</v>
      </c>
      <c r="I24" s="1">
        <v>3.1E-2</v>
      </c>
    </row>
    <row r="25" spans="2:9" x14ac:dyDescent="0.55000000000000004">
      <c r="B25" s="1" t="s">
        <v>455</v>
      </c>
      <c r="C25" s="1">
        <v>7.9342286689450205E-4</v>
      </c>
      <c r="D25" s="1">
        <v>1.2409744405438199E-3</v>
      </c>
      <c r="E25" s="1">
        <v>0.87481860635551301</v>
      </c>
      <c r="F25" s="1">
        <v>1.125</v>
      </c>
      <c r="G25" s="1">
        <v>0</v>
      </c>
      <c r="H25" s="1">
        <v>0.63935472075219102</v>
      </c>
      <c r="I25" s="1">
        <v>4.7E-2</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24C56-0A54-4A52-9D22-8CB6F83472F8}">
  <dimension ref="B2:V33"/>
  <sheetViews>
    <sheetView zoomScale="85" zoomScaleNormal="85" workbookViewId="0">
      <selection activeCell="E2" sqref="E2"/>
    </sheetView>
  </sheetViews>
  <sheetFormatPr defaultRowHeight="15.3" x14ac:dyDescent="0.55000000000000004"/>
  <cols>
    <col min="1" max="1" width="8.83984375" style="1"/>
    <col min="2" max="2" width="15.9453125" style="1" customWidth="1"/>
    <col min="3" max="4" width="14.9453125" style="1" customWidth="1"/>
    <col min="5" max="5" width="12.41796875" style="1" customWidth="1"/>
    <col min="6" max="6" width="12.68359375" style="1" customWidth="1"/>
    <col min="7" max="9" width="18.3125" style="1" customWidth="1"/>
    <col min="10" max="10" width="20.41796875" style="1" customWidth="1"/>
    <col min="11" max="11" width="18.3125" style="1" customWidth="1"/>
    <col min="12" max="16" width="10.734375" style="1" customWidth="1"/>
    <col min="17" max="23" width="8.83984375" style="1"/>
    <col min="24" max="24" width="14.26171875" style="1" customWidth="1"/>
    <col min="25" max="25" width="15.62890625" style="1" customWidth="1"/>
    <col min="26" max="30" width="8.83984375" style="1"/>
    <col min="31" max="31" width="12.3671875" style="1" customWidth="1"/>
    <col min="32" max="32" width="12.83984375" style="1" customWidth="1"/>
    <col min="33" max="16384" width="8.83984375" style="1"/>
  </cols>
  <sheetData>
    <row r="2" spans="2:22" x14ac:dyDescent="0.55000000000000004">
      <c r="B2" s="3"/>
      <c r="C2" s="3"/>
      <c r="E2" s="3" t="s">
        <v>463</v>
      </c>
      <c r="F2" s="3"/>
      <c r="G2" s="3"/>
      <c r="H2" s="3"/>
      <c r="I2" s="3"/>
      <c r="J2" s="3"/>
      <c r="K2" s="3"/>
      <c r="L2" s="3"/>
      <c r="M2" s="3"/>
      <c r="N2" s="3"/>
      <c r="O2" s="3"/>
      <c r="P2" s="3"/>
    </row>
    <row r="3" spans="2:22" s="6" customFormat="1" ht="45" x14ac:dyDescent="0.55000000000000004">
      <c r="B3" s="16" t="s">
        <v>10</v>
      </c>
      <c r="C3" s="16" t="s">
        <v>14</v>
      </c>
      <c r="D3" s="57"/>
      <c r="E3" s="16" t="s">
        <v>9</v>
      </c>
      <c r="F3" s="16" t="s">
        <v>0</v>
      </c>
      <c r="G3" s="17" t="s">
        <v>163</v>
      </c>
      <c r="H3" s="17" t="s">
        <v>164</v>
      </c>
      <c r="I3" s="17" t="s">
        <v>15</v>
      </c>
      <c r="J3" s="17" t="s">
        <v>16</v>
      </c>
      <c r="K3" s="17" t="s">
        <v>17</v>
      </c>
      <c r="L3" s="17" t="s">
        <v>18</v>
      </c>
      <c r="M3" s="17" t="s">
        <v>19</v>
      </c>
      <c r="N3" s="17" t="s">
        <v>20</v>
      </c>
      <c r="O3" s="17" t="s">
        <v>21</v>
      </c>
      <c r="P3" s="17" t="s">
        <v>22</v>
      </c>
    </row>
    <row r="4" spans="2:22" x14ac:dyDescent="0.55000000000000004">
      <c r="B4" s="7" t="s">
        <v>11</v>
      </c>
      <c r="C4" s="7" t="s">
        <v>4</v>
      </c>
      <c r="D4" s="7"/>
      <c r="E4" s="7" t="s">
        <v>95</v>
      </c>
      <c r="F4" s="7" t="s">
        <v>3</v>
      </c>
      <c r="G4" s="8">
        <v>3.3515046082917901</v>
      </c>
      <c r="H4" s="8">
        <v>0.449121805887783</v>
      </c>
      <c r="I4" s="8">
        <v>0.92125685724622397</v>
      </c>
      <c r="J4" s="8">
        <v>4.8527643274708002E-2</v>
      </c>
      <c r="K4" s="8">
        <v>16.5808120463</v>
      </c>
      <c r="L4" s="8">
        <v>7.3062423893552397</v>
      </c>
      <c r="M4" s="8">
        <v>0.92299212835963895</v>
      </c>
      <c r="N4" s="8">
        <v>4.8618587260047301E-2</v>
      </c>
      <c r="O4" s="8">
        <v>25.681368053512799</v>
      </c>
      <c r="P4" s="8">
        <v>8.4068131303476594</v>
      </c>
    </row>
    <row r="5" spans="2:22" x14ac:dyDescent="0.55000000000000004">
      <c r="B5" s="7" t="s">
        <v>11</v>
      </c>
      <c r="C5" s="7" t="s">
        <v>5</v>
      </c>
      <c r="D5" s="7"/>
      <c r="E5" s="7" t="s">
        <v>96</v>
      </c>
      <c r="F5" s="7" t="s">
        <v>3</v>
      </c>
      <c r="G5" s="8">
        <v>3.2248948892659599</v>
      </c>
      <c r="H5" s="8">
        <v>0.50809435982427298</v>
      </c>
      <c r="I5" s="8">
        <v>0.89372120496861795</v>
      </c>
      <c r="J5" s="8">
        <v>0.101917188744038</v>
      </c>
      <c r="K5" s="8">
        <v>14.956150408341699</v>
      </c>
      <c r="L5" s="8">
        <v>7.3799698331682704</v>
      </c>
      <c r="M5" s="8">
        <v>0.89722035122076105</v>
      </c>
      <c r="N5" s="8">
        <v>0.10300397796432099</v>
      </c>
      <c r="O5" s="8">
        <v>26.805566902791199</v>
      </c>
      <c r="P5" s="8">
        <v>6.5802973060147396</v>
      </c>
    </row>
    <row r="6" spans="2:22" x14ac:dyDescent="0.55000000000000004">
      <c r="B6" s="7" t="s">
        <v>12</v>
      </c>
      <c r="C6" s="7" t="s">
        <v>3</v>
      </c>
      <c r="D6" s="7"/>
      <c r="E6" s="7" t="s">
        <v>3</v>
      </c>
      <c r="F6" s="7" t="s">
        <v>6</v>
      </c>
      <c r="G6" s="8">
        <v>3.2370578619836499</v>
      </c>
      <c r="H6" s="8">
        <v>0.42077298109577099</v>
      </c>
      <c r="I6" s="8">
        <v>0.90988308469058499</v>
      </c>
      <c r="J6" s="8">
        <v>5.3781491630960403E-2</v>
      </c>
      <c r="K6" s="8">
        <v>14.918519890667501</v>
      </c>
      <c r="L6" s="8">
        <v>7.2077138329976798</v>
      </c>
      <c r="M6" s="8">
        <v>0.91312947137465905</v>
      </c>
      <c r="N6" s="8">
        <v>5.4422153095514202E-2</v>
      </c>
      <c r="O6" s="8">
        <v>24.547159012950502</v>
      </c>
      <c r="P6" s="8">
        <v>7.6879209106322097</v>
      </c>
    </row>
    <row r="7" spans="2:22" x14ac:dyDescent="0.55000000000000004">
      <c r="B7" s="7" t="s">
        <v>12</v>
      </c>
      <c r="C7" s="7" t="s">
        <v>3</v>
      </c>
      <c r="D7" s="7"/>
      <c r="E7" s="7" t="s">
        <v>3</v>
      </c>
      <c r="F7" s="7" t="s">
        <v>7</v>
      </c>
      <c r="G7" s="8">
        <v>3.3713053148211301</v>
      </c>
      <c r="H7" s="8">
        <v>0.56338061798080696</v>
      </c>
      <c r="I7" s="8">
        <v>0.90359869403477899</v>
      </c>
      <c r="J7" s="8">
        <v>0.11257582410209201</v>
      </c>
      <c r="K7" s="8">
        <v>17.149668399382598</v>
      </c>
      <c r="L7" s="8">
        <v>7.4678558380134703</v>
      </c>
      <c r="M7" s="8">
        <v>0.905193488465453</v>
      </c>
      <c r="N7" s="8">
        <v>0.113071540313365</v>
      </c>
      <c r="O7" s="8">
        <v>28.999968734104399</v>
      </c>
      <c r="P7" s="8">
        <v>6.4227539644128404</v>
      </c>
    </row>
    <row r="8" spans="2:22" x14ac:dyDescent="0.55000000000000004">
      <c r="B8" s="7" t="s">
        <v>13</v>
      </c>
      <c r="C8" s="7" t="s">
        <v>4</v>
      </c>
      <c r="D8" s="7"/>
      <c r="E8" s="7" t="s">
        <v>95</v>
      </c>
      <c r="F8" s="7" t="s">
        <v>6</v>
      </c>
      <c r="G8" s="8">
        <v>3.2025266639228702</v>
      </c>
      <c r="H8" s="8">
        <v>0.48756408098802101</v>
      </c>
      <c r="I8" s="8">
        <v>0.90599759250796896</v>
      </c>
      <c r="J8" s="8">
        <v>5.5944453650339399E-2</v>
      </c>
      <c r="K8" s="8">
        <v>14.587648602710701</v>
      </c>
      <c r="L8" s="8">
        <v>7.7553220427357203</v>
      </c>
      <c r="M8" s="8">
        <v>0.908042223979038</v>
      </c>
      <c r="N8" s="8">
        <v>5.6301076183289403E-2</v>
      </c>
      <c r="O8" s="8">
        <v>22.810603027671</v>
      </c>
      <c r="P8" s="8">
        <v>8.2541425942197595</v>
      </c>
    </row>
    <row r="9" spans="2:22" x14ac:dyDescent="0.55000000000000004">
      <c r="B9" s="7" t="s">
        <v>13</v>
      </c>
      <c r="C9" s="7" t="s">
        <v>5</v>
      </c>
      <c r="D9" s="7"/>
      <c r="E9" s="7" t="s">
        <v>96</v>
      </c>
      <c r="F9" s="7" t="s">
        <v>6</v>
      </c>
      <c r="G9" s="8">
        <v>3.2715890600444202</v>
      </c>
      <c r="H9" s="8">
        <v>0.35854105402332798</v>
      </c>
      <c r="I9" s="8">
        <v>0.91376857687320101</v>
      </c>
      <c r="J9" s="8">
        <v>5.3511147618530902E-2</v>
      </c>
      <c r="K9" s="8">
        <v>15.2493911786243</v>
      </c>
      <c r="L9" s="8">
        <v>6.9173203902841598</v>
      </c>
      <c r="M9" s="8">
        <v>0.91821671877027999</v>
      </c>
      <c r="N9" s="8">
        <v>5.4262980243102797E-2</v>
      </c>
      <c r="O9" s="8">
        <v>26.28371499823</v>
      </c>
      <c r="P9" s="8">
        <v>6.9619589237667396</v>
      </c>
    </row>
    <row r="10" spans="2:22" x14ac:dyDescent="0.55000000000000004">
      <c r="B10" s="7" t="s">
        <v>13</v>
      </c>
      <c r="C10" s="7" t="s">
        <v>4</v>
      </c>
      <c r="D10" s="7"/>
      <c r="E10" s="7" t="s">
        <v>95</v>
      </c>
      <c r="F10" s="7" t="s">
        <v>7</v>
      </c>
      <c r="G10" s="8">
        <v>3.5935937678912899</v>
      </c>
      <c r="H10" s="8">
        <v>0.24617017379619799</v>
      </c>
      <c r="I10" s="8">
        <v>0.946053162445888</v>
      </c>
      <c r="J10" s="8">
        <v>1.50969221466299E-2</v>
      </c>
      <c r="K10" s="8">
        <v>19.819702642132601</v>
      </c>
      <c r="L10" s="8">
        <v>5.4813308107786902</v>
      </c>
      <c r="M10" s="8">
        <v>0.94728572297811597</v>
      </c>
      <c r="N10" s="8">
        <v>1.5168958631478199E-2</v>
      </c>
      <c r="O10" s="8">
        <v>30.346361220505599</v>
      </c>
      <c r="P10" s="8">
        <v>6.7048555621140897</v>
      </c>
    </row>
    <row r="11" spans="2:22" x14ac:dyDescent="0.55000000000000004">
      <c r="B11" s="9" t="s">
        <v>13</v>
      </c>
      <c r="C11" s="9" t="s">
        <v>5</v>
      </c>
      <c r="D11" s="7"/>
      <c r="E11" s="9" t="s">
        <v>96</v>
      </c>
      <c r="F11" s="9" t="s">
        <v>7</v>
      </c>
      <c r="G11" s="10">
        <v>3.1490168617509702</v>
      </c>
      <c r="H11" s="10">
        <v>0.71175567914693205</v>
      </c>
      <c r="I11" s="10">
        <v>0.86114422562367099</v>
      </c>
      <c r="J11" s="10">
        <v>0.15102800732066299</v>
      </c>
      <c r="K11" s="10">
        <v>14.479634156632599</v>
      </c>
      <c r="L11" s="10">
        <v>8.5536360216878702</v>
      </c>
      <c r="M11" s="10">
        <v>0.86310125395279103</v>
      </c>
      <c r="N11" s="10">
        <v>0.152042671637419</v>
      </c>
      <c r="O11" s="10">
        <v>27.653576247703199</v>
      </c>
      <c r="P11" s="10">
        <v>6.2688179212674102</v>
      </c>
    </row>
    <row r="15" spans="2:22" x14ac:dyDescent="0.55000000000000004">
      <c r="C15" s="3"/>
      <c r="D15" s="3"/>
      <c r="E15" s="3"/>
      <c r="F15" s="3"/>
      <c r="G15" s="3"/>
      <c r="H15" s="3"/>
      <c r="I15" s="3"/>
      <c r="J15" s="3"/>
      <c r="K15" s="3"/>
    </row>
    <row r="16" spans="2:22" ht="30" x14ac:dyDescent="0.55000000000000004">
      <c r="C16" s="16" t="s">
        <v>14</v>
      </c>
      <c r="D16" s="16"/>
      <c r="E16" s="16" t="s">
        <v>94</v>
      </c>
      <c r="F16" s="16" t="s">
        <v>0</v>
      </c>
      <c r="G16" s="17" t="s">
        <v>272</v>
      </c>
      <c r="H16" s="17" t="s">
        <v>276</v>
      </c>
      <c r="I16" s="17" t="s">
        <v>273</v>
      </c>
      <c r="J16" s="17" t="s">
        <v>274</v>
      </c>
      <c r="K16" s="17" t="s">
        <v>275</v>
      </c>
      <c r="L16" s="32"/>
      <c r="M16" s="32"/>
      <c r="N16" s="32"/>
      <c r="O16" s="32"/>
      <c r="P16" s="32"/>
      <c r="R16" s="32"/>
      <c r="S16" s="32"/>
      <c r="T16" s="32"/>
      <c r="U16" s="32"/>
      <c r="V16" s="32"/>
    </row>
    <row r="17" spans="3:22" x14ac:dyDescent="0.55000000000000004">
      <c r="C17" s="7" t="s">
        <v>4</v>
      </c>
      <c r="D17" s="7"/>
      <c r="E17" s="7" t="s">
        <v>95</v>
      </c>
      <c r="F17" s="7" t="s">
        <v>3</v>
      </c>
      <c r="G17" s="8" t="s">
        <v>129</v>
      </c>
      <c r="H17" s="8" t="s">
        <v>130</v>
      </c>
      <c r="I17" s="8" t="s">
        <v>131</v>
      </c>
      <c r="J17" s="8" t="s">
        <v>132</v>
      </c>
      <c r="K17" s="8" t="s">
        <v>133</v>
      </c>
      <c r="L17" s="8"/>
      <c r="M17" s="8"/>
      <c r="N17" s="8"/>
      <c r="O17" s="8"/>
      <c r="P17" s="8"/>
      <c r="R17" s="33"/>
      <c r="S17" s="33"/>
      <c r="T17" s="33"/>
      <c r="U17" s="33"/>
      <c r="V17" s="33"/>
    </row>
    <row r="18" spans="3:22" x14ac:dyDescent="0.55000000000000004">
      <c r="C18" s="7" t="s">
        <v>5</v>
      </c>
      <c r="D18" s="7"/>
      <c r="E18" s="7" t="s">
        <v>96</v>
      </c>
      <c r="F18" s="7" t="s">
        <v>3</v>
      </c>
      <c r="G18" s="8" t="s">
        <v>134</v>
      </c>
      <c r="H18" s="8" t="s">
        <v>135</v>
      </c>
      <c r="I18" s="8" t="s">
        <v>199</v>
      </c>
      <c r="J18" s="8" t="s">
        <v>136</v>
      </c>
      <c r="K18" s="8" t="s">
        <v>200</v>
      </c>
      <c r="L18" s="8"/>
      <c r="M18" s="8"/>
      <c r="N18" s="8"/>
      <c r="O18" s="8"/>
      <c r="P18" s="8"/>
      <c r="R18" s="33"/>
      <c r="S18" s="33"/>
      <c r="T18" s="33"/>
      <c r="U18" s="33"/>
      <c r="V18" s="33"/>
    </row>
    <row r="19" spans="3:22" x14ac:dyDescent="0.55000000000000004">
      <c r="C19" s="7" t="s">
        <v>3</v>
      </c>
      <c r="D19" s="7"/>
      <c r="E19" s="7" t="s">
        <v>3</v>
      </c>
      <c r="F19" s="7" t="s">
        <v>6</v>
      </c>
      <c r="G19" s="8" t="s">
        <v>137</v>
      </c>
      <c r="H19" s="8" t="s">
        <v>195</v>
      </c>
      <c r="I19" s="8" t="s">
        <v>138</v>
      </c>
      <c r="J19" s="8" t="s">
        <v>139</v>
      </c>
      <c r="K19" s="8" t="s">
        <v>140</v>
      </c>
      <c r="L19" s="8"/>
      <c r="M19" s="8"/>
      <c r="N19" s="8"/>
      <c r="O19" s="8"/>
      <c r="P19" s="8"/>
      <c r="R19" s="33"/>
      <c r="S19" s="33"/>
      <c r="T19" s="33"/>
      <c r="U19" s="33"/>
      <c r="V19" s="33"/>
    </row>
    <row r="20" spans="3:22" x14ac:dyDescent="0.55000000000000004">
      <c r="C20" s="7" t="s">
        <v>3</v>
      </c>
      <c r="D20" s="7"/>
      <c r="E20" s="7" t="s">
        <v>3</v>
      </c>
      <c r="F20" s="7" t="s">
        <v>7</v>
      </c>
      <c r="G20" s="8" t="s">
        <v>141</v>
      </c>
      <c r="H20" s="8" t="s">
        <v>142</v>
      </c>
      <c r="I20" s="8" t="s">
        <v>198</v>
      </c>
      <c r="J20" s="8" t="s">
        <v>143</v>
      </c>
      <c r="K20" s="8" t="s">
        <v>194</v>
      </c>
      <c r="L20" s="8"/>
      <c r="M20" s="8"/>
      <c r="N20" s="8"/>
      <c r="O20" s="8"/>
      <c r="P20" s="8"/>
      <c r="R20" s="33"/>
      <c r="S20" s="33"/>
      <c r="T20" s="33"/>
      <c r="U20" s="33"/>
      <c r="V20" s="33"/>
    </row>
    <row r="21" spans="3:22" x14ac:dyDescent="0.55000000000000004">
      <c r="C21" s="7" t="s">
        <v>4</v>
      </c>
      <c r="D21" s="7"/>
      <c r="E21" s="7" t="s">
        <v>95</v>
      </c>
      <c r="F21" s="7" t="s">
        <v>6</v>
      </c>
      <c r="G21" s="8" t="s">
        <v>144</v>
      </c>
      <c r="H21" s="8" t="s">
        <v>145</v>
      </c>
      <c r="I21" s="8" t="s">
        <v>146</v>
      </c>
      <c r="J21" s="8" t="s">
        <v>147</v>
      </c>
      <c r="K21" s="8" t="s">
        <v>148</v>
      </c>
      <c r="L21" s="8"/>
      <c r="M21" s="8"/>
      <c r="N21" s="8"/>
      <c r="O21" s="8"/>
      <c r="P21" s="8"/>
      <c r="R21" s="33"/>
      <c r="S21" s="33"/>
      <c r="T21" s="33"/>
      <c r="U21" s="33"/>
      <c r="V21" s="33"/>
    </row>
    <row r="22" spans="3:22" x14ac:dyDescent="0.55000000000000004">
      <c r="C22" s="7" t="s">
        <v>5</v>
      </c>
      <c r="D22" s="7"/>
      <c r="E22" s="7" t="s">
        <v>96</v>
      </c>
      <c r="F22" s="7" t="s">
        <v>6</v>
      </c>
      <c r="G22" s="8" t="s">
        <v>149</v>
      </c>
      <c r="H22" s="8" t="s">
        <v>150</v>
      </c>
      <c r="I22" s="8" t="s">
        <v>151</v>
      </c>
      <c r="J22" s="8" t="s">
        <v>152</v>
      </c>
      <c r="K22" s="8" t="s">
        <v>153</v>
      </c>
      <c r="L22" s="8"/>
      <c r="M22" s="8"/>
      <c r="N22" s="8"/>
      <c r="O22" s="8"/>
      <c r="P22" s="8"/>
      <c r="R22" s="33"/>
      <c r="S22" s="33"/>
      <c r="T22" s="33"/>
      <c r="U22" s="33"/>
      <c r="V22" s="33"/>
    </row>
    <row r="23" spans="3:22" x14ac:dyDescent="0.55000000000000004">
      <c r="C23" s="7" t="s">
        <v>4</v>
      </c>
      <c r="D23" s="7"/>
      <c r="E23" s="7" t="s">
        <v>95</v>
      </c>
      <c r="F23" s="7" t="s">
        <v>7</v>
      </c>
      <c r="G23" s="8" t="s">
        <v>154</v>
      </c>
      <c r="H23" s="8" t="s">
        <v>155</v>
      </c>
      <c r="I23" s="8" t="s">
        <v>196</v>
      </c>
      <c r="J23" s="8" t="s">
        <v>156</v>
      </c>
      <c r="K23" s="8" t="s">
        <v>157</v>
      </c>
      <c r="L23" s="8"/>
      <c r="M23" s="8"/>
      <c r="N23" s="8"/>
      <c r="O23" s="8"/>
      <c r="P23" s="8"/>
      <c r="R23" s="33"/>
      <c r="S23" s="33"/>
      <c r="T23" s="33"/>
      <c r="U23" s="33"/>
      <c r="V23" s="33"/>
    </row>
    <row r="24" spans="3:22" x14ac:dyDescent="0.55000000000000004">
      <c r="C24" s="9" t="s">
        <v>5</v>
      </c>
      <c r="D24" s="9"/>
      <c r="E24" s="9" t="s">
        <v>96</v>
      </c>
      <c r="F24" s="9" t="s">
        <v>7</v>
      </c>
      <c r="G24" s="10" t="s">
        <v>158</v>
      </c>
      <c r="H24" s="10" t="s">
        <v>159</v>
      </c>
      <c r="I24" s="10" t="s">
        <v>197</v>
      </c>
      <c r="J24" s="10" t="s">
        <v>160</v>
      </c>
      <c r="K24" s="10" t="s">
        <v>161</v>
      </c>
      <c r="L24" s="8"/>
      <c r="M24" s="8"/>
      <c r="N24" s="8"/>
      <c r="O24" s="8"/>
      <c r="P24" s="8"/>
      <c r="R24" s="33"/>
      <c r="S24" s="33"/>
      <c r="T24" s="33"/>
      <c r="U24" s="33"/>
      <c r="V24" s="33"/>
    </row>
    <row r="25" spans="3:22" x14ac:dyDescent="0.55000000000000004">
      <c r="E25" s="1" t="s">
        <v>296</v>
      </c>
      <c r="R25" s="32"/>
      <c r="S25" s="32"/>
      <c r="T25" s="32"/>
      <c r="U25" s="32"/>
      <c r="V25" s="32"/>
    </row>
    <row r="26" spans="3:22" x14ac:dyDescent="0.55000000000000004">
      <c r="R26" s="33"/>
      <c r="S26" s="33"/>
      <c r="T26" s="33"/>
      <c r="U26" s="33"/>
      <c r="V26" s="33"/>
    </row>
    <row r="27" spans="3:22" x14ac:dyDescent="0.55000000000000004">
      <c r="R27" s="33"/>
      <c r="S27" s="33"/>
      <c r="T27" s="33"/>
      <c r="U27" s="33"/>
      <c r="V27" s="33"/>
    </row>
    <row r="28" spans="3:22" x14ac:dyDescent="0.55000000000000004">
      <c r="R28" s="33"/>
      <c r="S28" s="33"/>
      <c r="T28" s="33"/>
      <c r="U28" s="33"/>
      <c r="V28" s="33"/>
    </row>
    <row r="29" spans="3:22" x14ac:dyDescent="0.55000000000000004">
      <c r="R29" s="33"/>
      <c r="S29" s="33"/>
      <c r="T29" s="33"/>
      <c r="U29" s="33"/>
      <c r="V29" s="33"/>
    </row>
    <row r="30" spans="3:22" x14ac:dyDescent="0.55000000000000004">
      <c r="R30" s="33"/>
      <c r="S30" s="33"/>
      <c r="T30" s="33"/>
      <c r="U30" s="33"/>
      <c r="V30" s="33"/>
    </row>
    <row r="31" spans="3:22" x14ac:dyDescent="0.55000000000000004">
      <c r="R31" s="33"/>
      <c r="S31" s="33"/>
      <c r="T31" s="33"/>
      <c r="U31" s="33"/>
      <c r="V31" s="33"/>
    </row>
    <row r="32" spans="3:22" x14ac:dyDescent="0.55000000000000004">
      <c r="R32" s="33"/>
      <c r="S32" s="33"/>
      <c r="T32" s="33"/>
      <c r="U32" s="33"/>
      <c r="V32" s="33"/>
    </row>
    <row r="33" spans="18:22" x14ac:dyDescent="0.55000000000000004">
      <c r="R33" s="33"/>
      <c r="S33" s="33"/>
      <c r="T33" s="33"/>
      <c r="U33" s="33"/>
      <c r="V33" s="33"/>
    </row>
  </sheetData>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1736A9-BFAF-481D-8A8B-77D5BB5BBDAA}">
  <dimension ref="B2:T29"/>
  <sheetViews>
    <sheetView workbookViewId="0">
      <selection activeCell="K15" sqref="K15"/>
    </sheetView>
  </sheetViews>
  <sheetFormatPr defaultRowHeight="15.3" x14ac:dyDescent="0.55000000000000004"/>
  <cols>
    <col min="1" max="1" width="8.83984375" style="1"/>
    <col min="2" max="2" width="13.05078125" style="1" customWidth="1"/>
    <col min="3" max="3" width="10.15625" style="1" customWidth="1"/>
    <col min="4" max="4" width="17.578125" style="1" customWidth="1"/>
    <col min="5" max="5" width="13.89453125" style="1" customWidth="1"/>
    <col min="6" max="6" width="12.578125" style="1" customWidth="1"/>
    <col min="7" max="8" width="10.3125" style="1" customWidth="1"/>
    <col min="9" max="9" width="12.68359375" style="1" customWidth="1"/>
    <col min="10" max="10" width="10.3125" style="1" customWidth="1"/>
    <col min="11" max="11" width="8.83984375" style="1"/>
    <col min="12" max="12" width="10.83984375" style="1" customWidth="1"/>
    <col min="13" max="13" width="7.83984375" style="1" customWidth="1"/>
    <col min="14" max="16" width="9.41796875" style="1" customWidth="1"/>
    <col min="17" max="17" width="7.83984375" style="1" customWidth="1"/>
    <col min="18" max="16384" width="8.83984375" style="1"/>
  </cols>
  <sheetData>
    <row r="2" spans="2:20" x14ac:dyDescent="0.55000000000000004">
      <c r="B2" s="3" t="s">
        <v>290</v>
      </c>
      <c r="C2" s="3"/>
      <c r="D2" s="3"/>
      <c r="E2" s="3"/>
      <c r="F2" s="3"/>
      <c r="G2" s="3"/>
      <c r="H2" s="3"/>
      <c r="I2" s="3"/>
      <c r="J2" s="3"/>
      <c r="L2" s="3"/>
      <c r="M2" s="3"/>
      <c r="N2" s="3"/>
      <c r="O2" s="3"/>
      <c r="P2" s="3"/>
      <c r="Q2" s="3"/>
    </row>
    <row r="3" spans="2:20" ht="45" x14ac:dyDescent="0.55000000000000004">
      <c r="B3" s="16" t="s">
        <v>23</v>
      </c>
      <c r="C3" s="16" t="s">
        <v>0</v>
      </c>
      <c r="D3" s="16" t="s">
        <v>74</v>
      </c>
      <c r="E3" s="16" t="s">
        <v>75</v>
      </c>
      <c r="F3" s="17" t="s">
        <v>162</v>
      </c>
      <c r="G3" s="17" t="s">
        <v>24</v>
      </c>
      <c r="H3" s="17" t="s">
        <v>25</v>
      </c>
      <c r="I3" s="17" t="s">
        <v>26</v>
      </c>
      <c r="J3" s="17" t="s">
        <v>27</v>
      </c>
      <c r="L3" s="3"/>
      <c r="M3" s="17" t="s">
        <v>32</v>
      </c>
      <c r="N3" s="17" t="s">
        <v>33</v>
      </c>
      <c r="O3" s="17" t="s">
        <v>34</v>
      </c>
      <c r="P3" s="17" t="s">
        <v>35</v>
      </c>
      <c r="Q3" s="17" t="s">
        <v>36</v>
      </c>
    </row>
    <row r="4" spans="2:20" x14ac:dyDescent="0.55000000000000004">
      <c r="B4" s="20" t="s">
        <v>3</v>
      </c>
      <c r="C4" s="20" t="s">
        <v>6</v>
      </c>
      <c r="D4" s="20" t="s">
        <v>3</v>
      </c>
      <c r="E4" s="20" t="s">
        <v>3</v>
      </c>
      <c r="F4" s="21">
        <v>6.9062396121549852E-2</v>
      </c>
      <c r="G4" s="21">
        <v>7.7709843652320936E-3</v>
      </c>
      <c r="H4" s="21">
        <v>0.66174257591355068</v>
      </c>
      <c r="I4" s="21">
        <v>1.0174494791242382E-2</v>
      </c>
      <c r="J4" s="21">
        <v>3.4731119705589677</v>
      </c>
      <c r="L4" s="1" t="s">
        <v>6</v>
      </c>
      <c r="M4" s="18">
        <f>AVERAGE(F6:F18)</f>
        <v>6.9062396121549866E-2</v>
      </c>
      <c r="N4" s="18">
        <f>AVERAGE(G6:G18)</f>
        <v>7.7709843652320927E-3</v>
      </c>
      <c r="O4" s="18">
        <f>AVERAGE(H6:H18)</f>
        <v>0.66174257591355112</v>
      </c>
      <c r="P4" s="18">
        <f>AVERAGE(I6:I18)</f>
        <v>1.017449479124238E-2</v>
      </c>
      <c r="Q4" s="18">
        <f>AVERAGE(J6:J18)</f>
        <v>3.4731119705589677</v>
      </c>
    </row>
    <row r="5" spans="2:20" x14ac:dyDescent="0.55000000000000004">
      <c r="B5" s="5" t="s">
        <v>3</v>
      </c>
      <c r="C5" s="5" t="s">
        <v>7</v>
      </c>
      <c r="D5" s="5" t="s">
        <v>71</v>
      </c>
      <c r="E5" s="5" t="s">
        <v>3</v>
      </c>
      <c r="F5" s="22">
        <v>-0.44457690614032414</v>
      </c>
      <c r="G5" s="22">
        <v>-8.490893682221666E-2</v>
      </c>
      <c r="H5" s="22">
        <v>-5.3400684854999776</v>
      </c>
      <c r="I5" s="22">
        <v>-8.4184469025324393E-2</v>
      </c>
      <c r="J5" s="22">
        <v>-2.6927849728024862</v>
      </c>
      <c r="L5" s="3" t="s">
        <v>7</v>
      </c>
      <c r="M5" s="19">
        <f>AVERAGE(F19:F26)</f>
        <v>-0.44457690614032414</v>
      </c>
      <c r="N5" s="19">
        <f>AVERAGE(G19:G26)</f>
        <v>-8.490893682221666E-2</v>
      </c>
      <c r="O5" s="19">
        <f>AVERAGE(H19:H26)</f>
        <v>-5.3400684854999776</v>
      </c>
      <c r="P5" s="19">
        <f>AVERAGE(I19:I26)</f>
        <v>-8.4184469025324393E-2</v>
      </c>
      <c r="Q5" s="19">
        <f>AVERAGE(J19:J26)</f>
        <v>-2.6927849728024857</v>
      </c>
      <c r="S5"/>
      <c r="T5"/>
    </row>
    <row r="6" spans="2:20" x14ac:dyDescent="0.55000000000000004">
      <c r="B6" s="7" t="s">
        <v>39</v>
      </c>
      <c r="C6" s="20" t="s">
        <v>6</v>
      </c>
      <c r="D6" s="20" t="s">
        <v>76</v>
      </c>
      <c r="E6" s="20" t="s">
        <v>68</v>
      </c>
      <c r="F6" s="11">
        <v>-4.7791208589615898E-3</v>
      </c>
      <c r="G6" s="11">
        <v>-6.1514485234825901E-4</v>
      </c>
      <c r="H6" s="11">
        <v>-0.229044853485039</v>
      </c>
      <c r="I6" s="11">
        <v>2.0178100297498702E-3</v>
      </c>
      <c r="J6" s="11">
        <v>2.9714024870169302</v>
      </c>
      <c r="S6"/>
      <c r="T6"/>
    </row>
    <row r="7" spans="2:20" x14ac:dyDescent="0.55000000000000004">
      <c r="B7" s="7" t="s">
        <v>40</v>
      </c>
      <c r="C7" s="20" t="s">
        <v>6</v>
      </c>
      <c r="D7" s="20" t="s">
        <v>76</v>
      </c>
      <c r="E7" s="20" t="s">
        <v>68</v>
      </c>
      <c r="F7" s="11">
        <v>0.234671454057818</v>
      </c>
      <c r="G7" s="11">
        <v>7.9608761669044806E-2</v>
      </c>
      <c r="H7" s="11">
        <v>9.0801513289836802</v>
      </c>
      <c r="I7" s="11">
        <v>8.7753833860398894E-2</v>
      </c>
      <c r="J7" s="11">
        <v>1.97944488492131</v>
      </c>
      <c r="S7"/>
      <c r="T7"/>
    </row>
    <row r="8" spans="2:20" x14ac:dyDescent="0.55000000000000004">
      <c r="B8" s="7" t="s">
        <v>41</v>
      </c>
      <c r="C8" s="20" t="s">
        <v>6</v>
      </c>
      <c r="D8" s="20" t="s">
        <v>76</v>
      </c>
      <c r="E8" s="20" t="s">
        <v>68</v>
      </c>
      <c r="F8" s="11">
        <v>-0.42876287232291299</v>
      </c>
      <c r="G8" s="11">
        <v>-0.13175061139011099</v>
      </c>
      <c r="H8" s="11">
        <v>-14.549685198897199</v>
      </c>
      <c r="I8" s="11">
        <v>-0.13188299555612601</v>
      </c>
      <c r="J8" s="11">
        <v>15.7147772247636</v>
      </c>
      <c r="S8"/>
      <c r="T8"/>
    </row>
    <row r="9" spans="2:20" x14ac:dyDescent="0.55000000000000004">
      <c r="B9" s="7" t="s">
        <v>42</v>
      </c>
      <c r="C9" s="20" t="s">
        <v>6</v>
      </c>
      <c r="D9" s="20" t="s">
        <v>76</v>
      </c>
      <c r="E9" s="20" t="s">
        <v>68</v>
      </c>
      <c r="F9" s="11">
        <v>0.46655646872170797</v>
      </c>
      <c r="G9" s="11">
        <v>7.4382829083955895E-2</v>
      </c>
      <c r="H9" s="11">
        <v>4.43774126932475</v>
      </c>
      <c r="I9" s="11">
        <v>7.4995700521415395E-2</v>
      </c>
      <c r="J9" s="11">
        <v>8.1670222213720294</v>
      </c>
      <c r="S9"/>
      <c r="T9"/>
    </row>
    <row r="10" spans="2:20" x14ac:dyDescent="0.55000000000000004">
      <c r="B10" s="7" t="s">
        <v>43</v>
      </c>
      <c r="C10" s="20" t="s">
        <v>6</v>
      </c>
      <c r="D10" s="20" t="s">
        <v>76</v>
      </c>
      <c r="E10" s="20" t="s">
        <v>68</v>
      </c>
      <c r="F10" s="11">
        <v>1.4570799311259799E-3</v>
      </c>
      <c r="G10" s="11">
        <v>-1.43201468947895E-3</v>
      </c>
      <c r="H10" s="11">
        <v>-1.04497124008464</v>
      </c>
      <c r="I10" s="11">
        <v>-1.9951376844853301E-3</v>
      </c>
      <c r="J10" s="11">
        <v>-1.2402697977075601</v>
      </c>
      <c r="S10"/>
      <c r="T10"/>
    </row>
    <row r="11" spans="2:20" x14ac:dyDescent="0.55000000000000004">
      <c r="B11" s="7" t="s">
        <v>44</v>
      </c>
      <c r="C11" s="20" t="s">
        <v>6</v>
      </c>
      <c r="D11" s="20" t="s">
        <v>76</v>
      </c>
      <c r="E11" s="20" t="s">
        <v>68</v>
      </c>
      <c r="F11" s="11">
        <v>-1.1806396945859201</v>
      </c>
      <c r="G11" s="11">
        <v>-0.15168414307834099</v>
      </c>
      <c r="H11" s="11">
        <v>-16.1833857254869</v>
      </c>
      <c r="I11" s="11">
        <v>-0.14986810184805899</v>
      </c>
      <c r="J11" s="11">
        <v>-15.649531741608399</v>
      </c>
      <c r="S11"/>
      <c r="T11"/>
    </row>
    <row r="12" spans="2:20" x14ac:dyDescent="0.55000000000000004">
      <c r="B12" s="7" t="s">
        <v>45</v>
      </c>
      <c r="C12" s="20" t="s">
        <v>6</v>
      </c>
      <c r="D12" s="20" t="s">
        <v>76</v>
      </c>
      <c r="E12" s="20" t="s">
        <v>68</v>
      </c>
      <c r="F12" s="11">
        <v>0.69688580361722297</v>
      </c>
      <c r="G12" s="11">
        <v>9.8451943352988597E-2</v>
      </c>
      <c r="H12" s="11">
        <v>13.1917602681247</v>
      </c>
      <c r="I12" s="11">
        <v>0.10342617787418799</v>
      </c>
      <c r="J12" s="11">
        <v>5.7571950866929598</v>
      </c>
      <c r="S12"/>
      <c r="T12"/>
    </row>
    <row r="13" spans="2:20" x14ac:dyDescent="0.55000000000000004">
      <c r="B13" s="7" t="s">
        <v>46</v>
      </c>
      <c r="C13" s="20" t="s">
        <v>6</v>
      </c>
      <c r="D13" s="20" t="s">
        <v>69</v>
      </c>
      <c r="E13" s="20" t="s">
        <v>70</v>
      </c>
      <c r="F13" s="11">
        <v>0.412432515531724</v>
      </c>
      <c r="G13" s="11">
        <v>3.3563605421704501E-2</v>
      </c>
      <c r="H13" s="11">
        <v>8.2383808178465898</v>
      </c>
      <c r="I13" s="11">
        <v>3.74157011727307E-2</v>
      </c>
      <c r="J13" s="11">
        <v>10.846678457061699</v>
      </c>
      <c r="S13"/>
      <c r="T13"/>
    </row>
    <row r="14" spans="2:20" x14ac:dyDescent="0.55000000000000004">
      <c r="B14" s="7" t="s">
        <v>47</v>
      </c>
      <c r="C14" s="20" t="s">
        <v>6</v>
      </c>
      <c r="D14" s="20" t="s">
        <v>69</v>
      </c>
      <c r="E14" s="20" t="s">
        <v>77</v>
      </c>
      <c r="F14" s="11">
        <v>0.74898250314692005</v>
      </c>
      <c r="G14" s="11">
        <v>7.4607641775473896E-2</v>
      </c>
      <c r="H14" s="11">
        <v>13.718708699791</v>
      </c>
      <c r="I14" s="11">
        <v>7.3701175022137605E-2</v>
      </c>
      <c r="J14" s="11">
        <v>10.158432306091701</v>
      </c>
      <c r="S14"/>
      <c r="T14"/>
    </row>
    <row r="15" spans="2:20" x14ac:dyDescent="0.55000000000000004">
      <c r="B15" s="7" t="s">
        <v>48</v>
      </c>
      <c r="C15" s="20" t="s">
        <v>6</v>
      </c>
      <c r="D15" s="20" t="s">
        <v>69</v>
      </c>
      <c r="E15" s="20" t="s">
        <v>77</v>
      </c>
      <c r="F15" s="11">
        <v>3.3794879169151998E-2</v>
      </c>
      <c r="G15" s="11">
        <v>-9.3339202930671199E-3</v>
      </c>
      <c r="H15" s="11">
        <v>-4.5610658275066402</v>
      </c>
      <c r="I15" s="11">
        <v>-9.3723864504260401E-3</v>
      </c>
      <c r="J15" s="11">
        <v>7.68395571764278</v>
      </c>
      <c r="S15"/>
      <c r="T15"/>
    </row>
    <row r="16" spans="2:20" x14ac:dyDescent="0.55000000000000004">
      <c r="B16" s="7" t="s">
        <v>49</v>
      </c>
      <c r="C16" s="20" t="s">
        <v>6</v>
      </c>
      <c r="D16" s="20" t="s">
        <v>69</v>
      </c>
      <c r="E16" s="20" t="s">
        <v>77</v>
      </c>
      <c r="F16" s="11">
        <v>-0.15341449969377799</v>
      </c>
      <c r="G16" s="11">
        <v>-9.5761992611049698E-3</v>
      </c>
      <c r="H16" s="11">
        <v>-3.0018989036059498</v>
      </c>
      <c r="I16" s="11">
        <v>-7.1698436381479802E-3</v>
      </c>
      <c r="J16" s="11">
        <v>-0.599939750701871</v>
      </c>
      <c r="S16"/>
      <c r="T16"/>
    </row>
    <row r="17" spans="2:20" x14ac:dyDescent="0.55000000000000004">
      <c r="B17" s="7" t="s">
        <v>50</v>
      </c>
      <c r="C17" s="20" t="s">
        <v>6</v>
      </c>
      <c r="D17" s="20" t="s">
        <v>69</v>
      </c>
      <c r="E17" s="20" t="s">
        <v>69</v>
      </c>
      <c r="F17" s="11">
        <v>-0.57891565949954804</v>
      </c>
      <c r="G17" s="11">
        <v>-4.6993931620335799E-2</v>
      </c>
      <c r="H17" s="11">
        <v>-4.70520763886827</v>
      </c>
      <c r="I17" s="11">
        <v>-4.2203365072915597E-2</v>
      </c>
      <c r="J17" s="11">
        <v>-5.4251783102386497</v>
      </c>
      <c r="S17"/>
      <c r="T17"/>
    </row>
    <row r="18" spans="2:20" x14ac:dyDescent="0.55000000000000004">
      <c r="B18" s="9" t="s">
        <v>66</v>
      </c>
      <c r="C18" s="5" t="s">
        <v>6</v>
      </c>
      <c r="D18" s="5" t="s">
        <v>69</v>
      </c>
      <c r="E18" s="5" t="s">
        <v>69</v>
      </c>
      <c r="F18" s="12">
        <v>0.64954229236559802</v>
      </c>
      <c r="G18" s="12">
        <v>9.1793980629636604E-2</v>
      </c>
      <c r="H18" s="12">
        <v>4.2111704907400798</v>
      </c>
      <c r="I18" s="12">
        <v>9.5449864055690406E-2</v>
      </c>
      <c r="J18" s="12">
        <v>4.7864668319600501</v>
      </c>
      <c r="S18"/>
      <c r="T18"/>
    </row>
    <row r="19" spans="2:20" x14ac:dyDescent="0.55000000000000004">
      <c r="B19" s="7" t="s">
        <v>51</v>
      </c>
      <c r="C19" s="20" t="s">
        <v>7</v>
      </c>
      <c r="D19" s="20" t="s">
        <v>71</v>
      </c>
      <c r="E19" s="20" t="s">
        <v>72</v>
      </c>
      <c r="F19" s="11">
        <v>-0.23296301863204899</v>
      </c>
      <c r="G19" s="11">
        <v>-6.2467718984957604E-3</v>
      </c>
      <c r="H19" s="11">
        <v>-2.1443206020767298</v>
      </c>
      <c r="I19" s="11">
        <v>-5.84702449745933E-3</v>
      </c>
      <c r="J19" s="11">
        <v>-8.4106667357962497</v>
      </c>
      <c r="S19"/>
      <c r="T19"/>
    </row>
    <row r="20" spans="2:20" x14ac:dyDescent="0.55000000000000004">
      <c r="B20" s="7" t="s">
        <v>52</v>
      </c>
      <c r="C20" s="20" t="s">
        <v>7</v>
      </c>
      <c r="D20" s="20" t="s">
        <v>71</v>
      </c>
      <c r="E20" s="20" t="s">
        <v>72</v>
      </c>
      <c r="F20" s="11">
        <v>-0.51282992097450797</v>
      </c>
      <c r="G20" s="11">
        <v>-4.6652589108808901E-2</v>
      </c>
      <c r="H20" s="11">
        <v>-17.611716800528999</v>
      </c>
      <c r="I20" s="11">
        <v>-4.4875927850169299E-2</v>
      </c>
      <c r="J20" s="11">
        <v>-8.4901072404791496</v>
      </c>
      <c r="S20"/>
      <c r="T20"/>
    </row>
    <row r="21" spans="2:20" x14ac:dyDescent="0.55000000000000004">
      <c r="B21" s="7" t="s">
        <v>53</v>
      </c>
      <c r="C21" s="20" t="s">
        <v>7</v>
      </c>
      <c r="D21" s="20" t="s">
        <v>71</v>
      </c>
      <c r="E21" s="20" t="s">
        <v>72</v>
      </c>
      <c r="F21" s="11">
        <v>-0.241021184279474</v>
      </c>
      <c r="G21" s="11">
        <v>8.1469237478026802E-4</v>
      </c>
      <c r="H21" s="11">
        <v>0.34637342256248899</v>
      </c>
      <c r="I21" s="11">
        <v>2.0516564648722598E-3</v>
      </c>
      <c r="J21" s="11">
        <v>-9.5247303168332103</v>
      </c>
      <c r="S21"/>
      <c r="T21"/>
    </row>
    <row r="22" spans="2:20" x14ac:dyDescent="0.55000000000000004">
      <c r="B22" s="7" t="s">
        <v>54</v>
      </c>
      <c r="C22" s="20" t="s">
        <v>7</v>
      </c>
      <c r="D22" s="20" t="s">
        <v>71</v>
      </c>
      <c r="E22" s="20" t="s">
        <v>73</v>
      </c>
      <c r="F22" s="11">
        <v>9.9190456353282302E-2</v>
      </c>
      <c r="G22" s="11">
        <v>2.7917152601656301E-3</v>
      </c>
      <c r="H22" s="11">
        <v>1.6237301682547201</v>
      </c>
      <c r="I22" s="11">
        <v>3.6595228373339501E-3</v>
      </c>
      <c r="J22" s="11">
        <v>3.1488008359205502</v>
      </c>
      <c r="S22"/>
      <c r="T22"/>
    </row>
    <row r="23" spans="2:20" x14ac:dyDescent="0.55000000000000004">
      <c r="B23" s="7" t="s">
        <v>55</v>
      </c>
      <c r="C23" s="20" t="s">
        <v>7</v>
      </c>
      <c r="D23" s="20" t="s">
        <v>71</v>
      </c>
      <c r="E23" s="20" t="s">
        <v>73</v>
      </c>
      <c r="F23" s="11">
        <v>-0.90047329841972601</v>
      </c>
      <c r="G23" s="11">
        <v>-0.28311355494834101</v>
      </c>
      <c r="H23" s="11">
        <v>-15.102177304475999</v>
      </c>
      <c r="I23" s="11">
        <v>-0.28379006161092102</v>
      </c>
      <c r="J23" s="11">
        <v>13.467026837209501</v>
      </c>
      <c r="S23"/>
      <c r="T23"/>
    </row>
    <row r="24" spans="2:20" x14ac:dyDescent="0.55000000000000004">
      <c r="B24" s="7" t="s">
        <v>56</v>
      </c>
      <c r="C24" s="20" t="s">
        <v>7</v>
      </c>
      <c r="D24" s="20" t="s">
        <v>71</v>
      </c>
      <c r="E24" s="20" t="s">
        <v>73</v>
      </c>
      <c r="F24" s="11">
        <v>-4.37129899857224E-2</v>
      </c>
      <c r="G24" s="11">
        <v>-1.0007782386782099E-2</v>
      </c>
      <c r="H24" s="11">
        <v>-1.6941527865511301</v>
      </c>
      <c r="I24" s="11">
        <v>-9.7309479728628894E-3</v>
      </c>
      <c r="J24" s="11">
        <v>0.87987581258731495</v>
      </c>
      <c r="S24"/>
      <c r="T24"/>
    </row>
    <row r="25" spans="2:20" x14ac:dyDescent="0.55000000000000004">
      <c r="B25" s="7" t="s">
        <v>57</v>
      </c>
      <c r="C25" s="20" t="s">
        <v>7</v>
      </c>
      <c r="D25" s="20" t="s">
        <v>71</v>
      </c>
      <c r="E25" s="20" t="s">
        <v>73</v>
      </c>
      <c r="F25" s="11">
        <v>-1.6475565465570301</v>
      </c>
      <c r="G25" s="11">
        <v>-0.34132452603754498</v>
      </c>
      <c r="H25" s="11">
        <v>-10.204992286483501</v>
      </c>
      <c r="I25" s="11">
        <v>-0.34273275589504398</v>
      </c>
      <c r="J25" s="11">
        <v>-8.7081839794573508</v>
      </c>
      <c r="S25"/>
      <c r="T25"/>
    </row>
    <row r="26" spans="2:20" x14ac:dyDescent="0.55000000000000004">
      <c r="B26" s="9" t="s">
        <v>67</v>
      </c>
      <c r="C26" s="5" t="s">
        <v>7</v>
      </c>
      <c r="D26" s="5" t="s">
        <v>71</v>
      </c>
      <c r="E26" s="5" t="s">
        <v>73</v>
      </c>
      <c r="F26" s="12">
        <v>-7.7248746627365694E-2</v>
      </c>
      <c r="G26" s="12">
        <v>4.4673221672936097E-3</v>
      </c>
      <c r="H26" s="12">
        <v>2.06670830529933</v>
      </c>
      <c r="I26" s="12">
        <v>7.7897863216551599E-3</v>
      </c>
      <c r="J26" s="12">
        <v>-3.90429499557129</v>
      </c>
      <c r="S26"/>
      <c r="T26"/>
    </row>
    <row r="28" spans="2:20" x14ac:dyDescent="0.55000000000000004">
      <c r="O28" s="1">
        <v>2.6</v>
      </c>
      <c r="P28" s="1">
        <v>400</v>
      </c>
    </row>
    <row r="29" spans="2:20" x14ac:dyDescent="0.55000000000000004">
      <c r="O29" s="1">
        <v>3.89</v>
      </c>
      <c r="P29" s="1">
        <f>O29*P28/O28</f>
        <v>598.46153846153845</v>
      </c>
    </row>
  </sheetData>
  <sortState xmlns:xlrd2="http://schemas.microsoft.com/office/spreadsheetml/2017/richdata2" ref="B6:J26">
    <sortCondition ref="C6:C26"/>
    <sortCondition ref="B6:B26"/>
  </sortState>
  <pageMargins left="0.7" right="0.7" top="0.75" bottom="0.75" header="0.3" footer="0.3"/>
  <ignoredErrors>
    <ignoredError sqref="M4:M5 N4:Q4 N5:Q5" formulaRange="1"/>
  </ignoredError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A81125-D2EA-4173-A7F3-156A9F779FB6}">
  <dimension ref="B2:X16"/>
  <sheetViews>
    <sheetView zoomScale="85" zoomScaleNormal="85" workbookViewId="0">
      <selection activeCell="E3" sqref="E3:L3"/>
    </sheetView>
  </sheetViews>
  <sheetFormatPr defaultRowHeight="15.3" x14ac:dyDescent="0.55000000000000004"/>
  <cols>
    <col min="1" max="1" width="8.83984375" style="7"/>
    <col min="2" max="2" width="10.05078125" style="7" customWidth="1"/>
    <col min="3" max="3" width="12.15625" style="7" customWidth="1"/>
    <col min="4" max="12" width="12.89453125" style="7" customWidth="1"/>
    <col min="13" max="15" width="8.83984375" style="7"/>
    <col min="16" max="24" width="12.89453125" style="7" customWidth="1"/>
    <col min="25" max="16384" width="8.83984375" style="7"/>
  </cols>
  <sheetData>
    <row r="2" spans="2:24" x14ac:dyDescent="0.55000000000000004">
      <c r="B2" s="7" t="s">
        <v>295</v>
      </c>
    </row>
    <row r="3" spans="2:24" s="20" customFormat="1" ht="45" x14ac:dyDescent="0.55000000000000004">
      <c r="B3" s="51" t="s">
        <v>9</v>
      </c>
      <c r="C3" s="51" t="s">
        <v>0</v>
      </c>
      <c r="D3" s="49" t="s">
        <v>304</v>
      </c>
      <c r="E3" s="49" t="s">
        <v>125</v>
      </c>
      <c r="F3" s="49" t="s">
        <v>306</v>
      </c>
      <c r="G3" s="49" t="s">
        <v>298</v>
      </c>
      <c r="H3" s="49" t="s">
        <v>299</v>
      </c>
      <c r="I3" s="49" t="s">
        <v>277</v>
      </c>
      <c r="J3" s="49" t="s">
        <v>307</v>
      </c>
      <c r="K3" s="49" t="s">
        <v>31</v>
      </c>
      <c r="L3" s="49" t="s">
        <v>308</v>
      </c>
      <c r="O3" s="51" t="s">
        <v>0</v>
      </c>
      <c r="P3" s="51" t="s">
        <v>305</v>
      </c>
      <c r="Q3" s="51" t="s">
        <v>162</v>
      </c>
      <c r="R3" s="51" t="s">
        <v>297</v>
      </c>
      <c r="S3" s="51" t="s">
        <v>300</v>
      </c>
      <c r="T3" s="51" t="s">
        <v>301</v>
      </c>
      <c r="U3" s="51" t="s">
        <v>24</v>
      </c>
      <c r="V3" s="51" t="s">
        <v>302</v>
      </c>
      <c r="W3" s="51" t="s">
        <v>25</v>
      </c>
      <c r="X3" s="51" t="s">
        <v>303</v>
      </c>
    </row>
    <row r="4" spans="2:24" x14ac:dyDescent="0.55000000000000004">
      <c r="B4" s="7" t="s">
        <v>3</v>
      </c>
      <c r="C4" s="7" t="s">
        <v>6</v>
      </c>
      <c r="D4" s="2">
        <v>670</v>
      </c>
      <c r="E4" s="11">
        <v>5.16073119839385</v>
      </c>
      <c r="F4" s="11">
        <v>5.2876341266875198</v>
      </c>
      <c r="G4" s="11">
        <v>0.79307068585249696</v>
      </c>
      <c r="H4" s="11">
        <v>0.81257237825024697</v>
      </c>
      <c r="I4" s="11">
        <v>0.98709779412830401</v>
      </c>
      <c r="J4" s="11">
        <v>0.98871340255968498</v>
      </c>
      <c r="K4" s="11">
        <v>77.506126467395305</v>
      </c>
      <c r="L4" s="11">
        <v>88.600661562370902</v>
      </c>
      <c r="O4" s="7" t="s">
        <v>3</v>
      </c>
      <c r="P4" s="7">
        <v>-60</v>
      </c>
      <c r="Q4" s="52">
        <v>-0.78819703410082997</v>
      </c>
      <c r="R4" s="52">
        <v>-0.28770672143937048</v>
      </c>
      <c r="S4" s="52">
        <v>-0.11080458577932106</v>
      </c>
      <c r="T4" s="52">
        <v>-3.2718316630617084E-2</v>
      </c>
      <c r="U4" s="52">
        <v>-3.8316916119149003E-2</v>
      </c>
      <c r="V4" s="52">
        <v>-4.6011613889389569E-3</v>
      </c>
      <c r="W4" s="52">
        <v>-89.309367697274297</v>
      </c>
      <c r="X4" s="52">
        <v>-46.689186937899706</v>
      </c>
    </row>
    <row r="5" spans="2:24" x14ac:dyDescent="0.55000000000000004">
      <c r="B5" s="7" t="s">
        <v>3</v>
      </c>
      <c r="C5" s="7" t="s">
        <v>7</v>
      </c>
      <c r="D5" s="2">
        <v>667</v>
      </c>
      <c r="E5" s="11">
        <v>4.9360089618779099</v>
      </c>
      <c r="F5" s="11">
        <v>5.3389449170192096</v>
      </c>
      <c r="G5" s="11">
        <v>0.75906017678952997</v>
      </c>
      <c r="H5" s="11">
        <v>0.82102372663447498</v>
      </c>
      <c r="I5" s="11">
        <v>0.97248066662162502</v>
      </c>
      <c r="J5" s="11">
        <v>0.99026161759621001</v>
      </c>
      <c r="K5" s="11">
        <v>36.338089526029101</v>
      </c>
      <c r="L5" s="11">
        <v>102.6864584421</v>
      </c>
      <c r="O5" s="7" t="s">
        <v>6</v>
      </c>
      <c r="P5" s="7">
        <v>-64</v>
      </c>
      <c r="Q5" s="52">
        <v>-5.8597092979799648E-2</v>
      </c>
      <c r="R5" s="52">
        <v>-0.18573073420816044</v>
      </c>
      <c r="S5" s="52">
        <v>1.0028583780793965E-2</v>
      </c>
      <c r="T5" s="52">
        <v>-1.0555567813349986E-2</v>
      </c>
      <c r="U5" s="52">
        <v>-2.0215688161159262E-3</v>
      </c>
      <c r="V5" s="52">
        <v>-4.4181989137699329E-3</v>
      </c>
      <c r="W5" s="52">
        <v>-6.1705280487760987</v>
      </c>
      <c r="X5" s="52">
        <v>-19.952401308704793</v>
      </c>
    </row>
    <row r="6" spans="2:24" x14ac:dyDescent="0.55000000000000004">
      <c r="B6" s="7" t="s">
        <v>95</v>
      </c>
      <c r="C6" s="7" t="s">
        <v>3</v>
      </c>
      <c r="D6" s="2">
        <v>677</v>
      </c>
      <c r="E6" s="11">
        <v>5.3581322056173599</v>
      </c>
      <c r="F6" s="11">
        <v>5.4426730048561902</v>
      </c>
      <c r="G6" s="11">
        <v>0.82209304232417901</v>
      </c>
      <c r="H6" s="11">
        <v>0.83506405538987205</v>
      </c>
      <c r="I6" s="11">
        <v>0.99094352732496604</v>
      </c>
      <c r="J6" s="11">
        <v>0.99211031918549497</v>
      </c>
      <c r="K6" s="11">
        <v>110.418265022407</v>
      </c>
      <c r="L6" s="11">
        <v>126.74783980634101</v>
      </c>
      <c r="O6" s="9" t="s">
        <v>7</v>
      </c>
      <c r="P6" s="9">
        <v>-46</v>
      </c>
      <c r="Q6" s="53">
        <v>-1.0870392914399902</v>
      </c>
      <c r="R6" s="53">
        <v>-0.43612554158073991</v>
      </c>
      <c r="S6" s="53">
        <v>-0.16628398818402401</v>
      </c>
      <c r="T6" s="53">
        <v>-5.7761287938151051E-2</v>
      </c>
      <c r="U6" s="53">
        <v>-7.7762713034565056E-2</v>
      </c>
      <c r="V6" s="53">
        <v>-1.2600815888904049E-2</v>
      </c>
      <c r="W6" s="53">
        <v>-65.472946787575495</v>
      </c>
      <c r="X6" s="53">
        <v>-50.794766438347708</v>
      </c>
    </row>
    <row r="7" spans="2:24" x14ac:dyDescent="0.55000000000000004">
      <c r="B7" s="7" t="s">
        <v>96</v>
      </c>
      <c r="C7" s="7" t="s">
        <v>3</v>
      </c>
      <c r="D7" s="2">
        <v>617</v>
      </c>
      <c r="E7" s="11">
        <v>4.5699351715165299</v>
      </c>
      <c r="F7" s="11">
        <v>5.1549662834168197</v>
      </c>
      <c r="G7" s="11">
        <v>0.71128845654485795</v>
      </c>
      <c r="H7" s="11">
        <v>0.80234573875925497</v>
      </c>
      <c r="I7" s="11">
        <v>0.95262661120581704</v>
      </c>
      <c r="J7" s="11">
        <v>0.98750915779655601</v>
      </c>
      <c r="K7" s="11">
        <v>21.108897325132698</v>
      </c>
      <c r="L7" s="11">
        <v>80.0586528684413</v>
      </c>
    </row>
    <row r="8" spans="2:24" x14ac:dyDescent="0.55000000000000004">
      <c r="B8" s="7" t="s">
        <v>95</v>
      </c>
      <c r="C8" s="7" t="s">
        <v>6</v>
      </c>
      <c r="D8" s="2">
        <v>460</v>
      </c>
      <c r="E8" s="11">
        <v>4.8531026590339197</v>
      </c>
      <c r="F8" s="11">
        <v>5.0172695472150304</v>
      </c>
      <c r="G8" s="11">
        <v>0.79153863706689398</v>
      </c>
      <c r="H8" s="11">
        <v>0.81831417511995796</v>
      </c>
      <c r="I8" s="11">
        <v>0.98288239475400996</v>
      </c>
      <c r="J8" s="11">
        <v>0.98716526113174696</v>
      </c>
      <c r="K8" s="11">
        <v>58.419386685781099</v>
      </c>
      <c r="L8" s="11">
        <v>77.913544659141294</v>
      </c>
    </row>
    <row r="9" spans="2:24" x14ac:dyDescent="0.55000000000000004">
      <c r="B9" s="7" t="s">
        <v>96</v>
      </c>
      <c r="C9" s="7" t="s">
        <v>6</v>
      </c>
      <c r="D9" s="2">
        <v>396</v>
      </c>
      <c r="E9" s="11">
        <v>4.79450556605412</v>
      </c>
      <c r="F9" s="11">
        <v>4.8315388130068699</v>
      </c>
      <c r="G9" s="11">
        <v>0.80156722084768794</v>
      </c>
      <c r="H9" s="11">
        <v>0.80775860730660798</v>
      </c>
      <c r="I9" s="11">
        <v>0.98086082593789403</v>
      </c>
      <c r="J9" s="11">
        <v>0.98274706221797703</v>
      </c>
      <c r="K9" s="11">
        <v>52.248858637005</v>
      </c>
      <c r="L9" s="11">
        <v>57.961143350436501</v>
      </c>
    </row>
    <row r="10" spans="2:24" x14ac:dyDescent="0.55000000000000004">
      <c r="B10" s="7" t="s">
        <v>95</v>
      </c>
      <c r="C10" s="7" t="s">
        <v>7</v>
      </c>
      <c r="D10" s="2">
        <v>456</v>
      </c>
      <c r="E10" s="11">
        <v>4.9889755141575103</v>
      </c>
      <c r="F10" s="11">
        <v>5.1027402882791302</v>
      </c>
      <c r="G10" s="11">
        <v>0.814860167153584</v>
      </c>
      <c r="H10" s="11">
        <v>0.83344161390429905</v>
      </c>
      <c r="I10" s="11">
        <v>0.98692495718297102</v>
      </c>
      <c r="J10" s="11">
        <v>0.98933667444211804</v>
      </c>
      <c r="K10" s="11">
        <v>76.481585107898397</v>
      </c>
      <c r="L10" s="11">
        <v>93.779374414851006</v>
      </c>
    </row>
    <row r="11" spans="2:24" x14ac:dyDescent="0.55000000000000004">
      <c r="B11" s="9" t="s">
        <v>96</v>
      </c>
      <c r="C11" s="9" t="s">
        <v>7</v>
      </c>
      <c r="D11" s="4">
        <v>410</v>
      </c>
      <c r="E11" s="12">
        <v>3.9019362227175201</v>
      </c>
      <c r="F11" s="12">
        <v>4.6666147466983903</v>
      </c>
      <c r="G11" s="12">
        <v>0.64857617896955999</v>
      </c>
      <c r="H11" s="12">
        <v>0.775680325966148</v>
      </c>
      <c r="I11" s="12">
        <v>0.90916224414840596</v>
      </c>
      <c r="J11" s="12">
        <v>0.97673585855321399</v>
      </c>
      <c r="K11" s="12">
        <v>11.0086383203229</v>
      </c>
      <c r="L11" s="12">
        <v>42.984607976503298</v>
      </c>
    </row>
    <row r="14" spans="2:24" x14ac:dyDescent="0.55000000000000004">
      <c r="C14" s="54"/>
      <c r="D14" s="54"/>
      <c r="E14" s="54"/>
      <c r="F14" s="54"/>
      <c r="G14" s="54"/>
      <c r="H14" s="54"/>
      <c r="I14" s="54"/>
      <c r="J14" s="54"/>
      <c r="K14" s="54"/>
      <c r="L14" s="54"/>
    </row>
    <row r="15" spans="2:24" x14ac:dyDescent="0.55000000000000004">
      <c r="B15" s="7" t="s">
        <v>458</v>
      </c>
      <c r="C15" s="54"/>
      <c r="D15" s="54"/>
      <c r="E15" s="54"/>
      <c r="F15" s="54"/>
      <c r="G15" s="54"/>
      <c r="H15" s="54"/>
      <c r="I15" s="54"/>
      <c r="J15" s="54"/>
      <c r="K15" s="54"/>
      <c r="L15" s="54"/>
    </row>
    <row r="16" spans="2:24" x14ac:dyDescent="0.55000000000000004">
      <c r="C16" s="54"/>
      <c r="D16" s="54"/>
      <c r="E16" s="54"/>
      <c r="F16" s="54"/>
      <c r="G16" s="54"/>
      <c r="H16" s="54"/>
      <c r="I16" s="54"/>
      <c r="J16" s="54"/>
      <c r="K16" s="54"/>
      <c r="L16" s="54"/>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28816A-BC4C-40E3-9B0F-35DAAA9CA6EA}">
  <dimension ref="B1:H22"/>
  <sheetViews>
    <sheetView workbookViewId="0">
      <selection activeCell="K8" sqref="K8"/>
    </sheetView>
  </sheetViews>
  <sheetFormatPr defaultRowHeight="15.3" x14ac:dyDescent="0.55000000000000004"/>
  <cols>
    <col min="1" max="2" width="8.83984375" style="1"/>
    <col min="3" max="3" width="8.83984375" style="1" bestFit="1" customWidth="1"/>
    <col min="4" max="4" width="2.578125" style="1" bestFit="1" customWidth="1"/>
    <col min="5" max="5" width="7.578125" style="1" bestFit="1" customWidth="1"/>
    <col min="6" max="6" width="8.62890625" style="1" bestFit="1" customWidth="1"/>
    <col min="7" max="7" width="9.578125" style="1" bestFit="1" customWidth="1"/>
    <col min="8" max="8" width="7.1015625" style="1" customWidth="1"/>
    <col min="9" max="16384" width="8.83984375" style="1"/>
  </cols>
  <sheetData>
    <row r="1" spans="2:8" x14ac:dyDescent="0.55000000000000004">
      <c r="B1" s="3" t="s">
        <v>271</v>
      </c>
      <c r="C1" s="3"/>
      <c r="D1" s="3"/>
      <c r="E1" s="3"/>
      <c r="F1" s="3"/>
      <c r="G1" s="3"/>
      <c r="H1" s="3"/>
    </row>
    <row r="2" spans="2:8" x14ac:dyDescent="0.55000000000000004">
      <c r="B2" s="13" t="s">
        <v>28</v>
      </c>
      <c r="C2" s="13" t="s">
        <v>29</v>
      </c>
      <c r="D2" s="14" t="s">
        <v>37</v>
      </c>
      <c r="E2" s="14" t="s">
        <v>123</v>
      </c>
      <c r="F2" s="14" t="s">
        <v>59</v>
      </c>
      <c r="G2" s="14" t="s">
        <v>124</v>
      </c>
      <c r="H2" s="15" t="s">
        <v>30</v>
      </c>
    </row>
    <row r="3" spans="2:8" x14ac:dyDescent="0.55000000000000004">
      <c r="B3" s="7" t="s">
        <v>125</v>
      </c>
      <c r="C3" s="7" t="s">
        <v>0</v>
      </c>
      <c r="D3" s="2">
        <v>1</v>
      </c>
      <c r="E3" s="11">
        <v>0.17899999999999999</v>
      </c>
      <c r="F3" s="11">
        <v>0.17849999999999999</v>
      </c>
      <c r="G3" s="11">
        <v>0.64</v>
      </c>
      <c r="H3" s="11">
        <v>0.434</v>
      </c>
    </row>
    <row r="4" spans="2:8" x14ac:dyDescent="0.55000000000000004">
      <c r="B4" s="7" t="s">
        <v>125</v>
      </c>
      <c r="C4" s="7" t="s">
        <v>9</v>
      </c>
      <c r="D4" s="27">
        <v>1</v>
      </c>
      <c r="E4" s="28">
        <v>0.16830000000000001</v>
      </c>
      <c r="F4" s="28">
        <v>0.16830000000000001</v>
      </c>
      <c r="G4" s="28">
        <v>1.044</v>
      </c>
      <c r="H4" s="28">
        <v>0.3196</v>
      </c>
    </row>
    <row r="5" spans="2:8" x14ac:dyDescent="0.55000000000000004">
      <c r="B5" s="7" t="s">
        <v>125</v>
      </c>
      <c r="C5" s="7" t="s">
        <v>461</v>
      </c>
      <c r="D5" s="27">
        <v>1</v>
      </c>
      <c r="E5" s="28">
        <v>0.65329999999999999</v>
      </c>
      <c r="F5" s="28">
        <v>0.65329999999999999</v>
      </c>
      <c r="G5" s="28">
        <v>4.0540000000000003</v>
      </c>
      <c r="H5" s="28">
        <v>5.8500000000000003E-2</v>
      </c>
    </row>
    <row r="6" spans="2:8" x14ac:dyDescent="0.55000000000000004">
      <c r="B6" s="7" t="s">
        <v>126</v>
      </c>
      <c r="C6" s="7" t="s">
        <v>0</v>
      </c>
      <c r="D6" s="27">
        <v>1</v>
      </c>
      <c r="E6" s="28">
        <v>3.8999999999999999E-4</v>
      </c>
      <c r="F6" s="28">
        <v>3.9100000000000002E-4</v>
      </c>
      <c r="G6" s="28">
        <v>0.06</v>
      </c>
      <c r="H6" s="28">
        <v>0.80900000000000005</v>
      </c>
    </row>
    <row r="7" spans="2:8" x14ac:dyDescent="0.55000000000000004">
      <c r="B7" s="7" t="s">
        <v>126</v>
      </c>
      <c r="C7" s="7" t="s">
        <v>9</v>
      </c>
      <c r="D7" s="27">
        <v>1</v>
      </c>
      <c r="E7" s="28">
        <v>7.9600000000000001E-3</v>
      </c>
      <c r="F7" s="28">
        <v>7.9609999999999993E-3</v>
      </c>
      <c r="G7" s="28">
        <v>1.375</v>
      </c>
      <c r="H7" s="28">
        <v>0.25540000000000002</v>
      </c>
    </row>
    <row r="8" spans="2:8" x14ac:dyDescent="0.55000000000000004">
      <c r="B8" s="7" t="s">
        <v>126</v>
      </c>
      <c r="C8" s="7" t="s">
        <v>461</v>
      </c>
      <c r="D8" s="27">
        <v>1</v>
      </c>
      <c r="E8" s="28">
        <v>2.1270000000000001E-2</v>
      </c>
      <c r="F8" s="28">
        <v>2.1269E-2</v>
      </c>
      <c r="G8" s="28">
        <v>3.6739999999999999</v>
      </c>
      <c r="H8" s="28">
        <v>7.0400000000000004E-2</v>
      </c>
    </row>
    <row r="9" spans="2:8" x14ac:dyDescent="0.55000000000000004">
      <c r="B9" s="7" t="s">
        <v>31</v>
      </c>
      <c r="C9" s="7" t="s">
        <v>0</v>
      </c>
      <c r="D9" s="27">
        <v>1</v>
      </c>
      <c r="E9" s="29">
        <v>49.3</v>
      </c>
      <c r="F9" s="29">
        <v>49.31</v>
      </c>
      <c r="G9" s="28">
        <v>0.73899999999999999</v>
      </c>
      <c r="H9" s="28">
        <v>0.40100000000000002</v>
      </c>
    </row>
    <row r="10" spans="2:8" x14ac:dyDescent="0.55000000000000004">
      <c r="B10" s="7" t="s">
        <v>31</v>
      </c>
      <c r="C10" s="7" t="s">
        <v>9</v>
      </c>
      <c r="D10" s="27">
        <v>1</v>
      </c>
      <c r="E10" s="29">
        <v>27.7</v>
      </c>
      <c r="F10" s="29">
        <v>27.72</v>
      </c>
      <c r="G10" s="28">
        <v>0.70199999999999996</v>
      </c>
      <c r="H10" s="28">
        <v>0.41199999999999998</v>
      </c>
    </row>
    <row r="11" spans="2:8" x14ac:dyDescent="0.55000000000000004">
      <c r="B11" s="7" t="s">
        <v>31</v>
      </c>
      <c r="C11" s="7" t="s">
        <v>461</v>
      </c>
      <c r="D11" s="27">
        <v>1</v>
      </c>
      <c r="E11" s="29">
        <v>89.2</v>
      </c>
      <c r="F11" s="29">
        <v>89.2</v>
      </c>
      <c r="G11" s="28">
        <v>2.2599999999999998</v>
      </c>
      <c r="H11" s="28">
        <v>0.14899999999999999</v>
      </c>
    </row>
    <row r="12" spans="2:8" x14ac:dyDescent="0.55000000000000004">
      <c r="B12" s="7" t="s">
        <v>127</v>
      </c>
      <c r="C12" s="7" t="s">
        <v>0</v>
      </c>
      <c r="D12" s="27">
        <v>1</v>
      </c>
      <c r="E12" s="28">
        <v>6.2E-4</v>
      </c>
      <c r="F12" s="28">
        <v>6.2399999999999999E-4</v>
      </c>
      <c r="G12" s="28">
        <v>9.5000000000000001E-2</v>
      </c>
      <c r="H12" s="28">
        <v>0.76100000000000001</v>
      </c>
    </row>
    <row r="13" spans="2:8" x14ac:dyDescent="0.55000000000000004">
      <c r="B13" s="7" t="s">
        <v>127</v>
      </c>
      <c r="C13" s="7" t="s">
        <v>9</v>
      </c>
      <c r="D13" s="27">
        <v>1</v>
      </c>
      <c r="E13" s="28">
        <v>6.9699999999999996E-3</v>
      </c>
      <c r="F13" s="28">
        <v>6.9740000000000002E-3</v>
      </c>
      <c r="G13" s="28">
        <v>1.1830000000000001</v>
      </c>
      <c r="H13" s="28">
        <v>0.2903</v>
      </c>
    </row>
    <row r="14" spans="2:8" x14ac:dyDescent="0.55000000000000004">
      <c r="B14" s="7" t="s">
        <v>127</v>
      </c>
      <c r="C14" s="7" t="s">
        <v>461</v>
      </c>
      <c r="D14" s="27">
        <v>1</v>
      </c>
      <c r="E14" s="28">
        <v>2.205E-2</v>
      </c>
      <c r="F14" s="28">
        <v>2.2047000000000001E-2</v>
      </c>
      <c r="G14" s="28">
        <v>3.7410000000000001</v>
      </c>
      <c r="H14" s="28">
        <v>6.8099999999999994E-2</v>
      </c>
    </row>
    <row r="15" spans="2:8" x14ac:dyDescent="0.55000000000000004">
      <c r="B15" s="7" t="s">
        <v>128</v>
      </c>
      <c r="C15" s="7" t="s">
        <v>0</v>
      </c>
      <c r="D15" s="27">
        <v>1</v>
      </c>
      <c r="E15" s="29">
        <v>196.4</v>
      </c>
      <c r="F15" s="29">
        <v>196.39</v>
      </c>
      <c r="G15" s="28">
        <v>2.726</v>
      </c>
      <c r="H15" s="28">
        <v>0.115</v>
      </c>
    </row>
    <row r="16" spans="2:8" x14ac:dyDescent="0.55000000000000004">
      <c r="B16" s="7" t="s">
        <v>128</v>
      </c>
      <c r="C16" s="7" t="s">
        <v>9</v>
      </c>
      <c r="D16" s="27">
        <v>1</v>
      </c>
      <c r="E16" s="29">
        <v>13.3</v>
      </c>
      <c r="F16" s="29">
        <v>13.27</v>
      </c>
      <c r="G16" s="28">
        <v>0.40699999999999997</v>
      </c>
      <c r="H16" s="28">
        <v>0.53100000000000003</v>
      </c>
    </row>
    <row r="17" spans="2:8" x14ac:dyDescent="0.55000000000000004">
      <c r="B17" s="9" t="s">
        <v>128</v>
      </c>
      <c r="C17" s="9" t="s">
        <v>461</v>
      </c>
      <c r="D17" s="24">
        <v>1</v>
      </c>
      <c r="E17" s="30">
        <v>94.1</v>
      </c>
      <c r="F17" s="30">
        <v>94.14</v>
      </c>
      <c r="G17" s="31">
        <v>2.8839999999999999</v>
      </c>
      <c r="H17" s="31">
        <v>0.106</v>
      </c>
    </row>
    <row r="18" spans="2:8" x14ac:dyDescent="0.55000000000000004">
      <c r="B18" s="1" t="s">
        <v>462</v>
      </c>
    </row>
    <row r="19" spans="2:8" x14ac:dyDescent="0.55000000000000004">
      <c r="B19" s="1" t="s">
        <v>268</v>
      </c>
    </row>
    <row r="21" spans="2:8" x14ac:dyDescent="0.55000000000000004">
      <c r="B21" s="1" t="s">
        <v>269</v>
      </c>
    </row>
    <row r="22" spans="2:8" x14ac:dyDescent="0.55000000000000004">
      <c r="B22" s="1" t="s">
        <v>270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Table 1. Stations &amp; Counts</vt:lpstr>
      <vt:lpstr>Table 2. alpha lme fe ANOVA</vt:lpstr>
      <vt:lpstr>Table 3. estimater lme fe ANOVA</vt:lpstr>
      <vt:lpstr>Table 4. beta perm lme fe</vt:lpstr>
      <vt:lpstr>Table 5. beta perm lme posthoc</vt:lpstr>
      <vt:lpstr>Table S1. alpha lme posthoc</vt:lpstr>
      <vt:lpstr>Table S2. estimater lme posthoc</vt:lpstr>
      <vt:lpstr>Table S3. beta disper era-sea</vt:lpstr>
      <vt:lpstr>Table S4. Trophic lme fe ANOVA</vt:lpstr>
      <vt:lpstr>Table S5. SIMPROF sigclusters</vt:lpstr>
      <vt:lpstr>Table S6. SIMPER by study 20%</vt:lpstr>
      <vt:lpstr>Table S7. SIMPER by sea 20%</vt:lpstr>
      <vt:lpstr>Table S8. SIMPER by Bohol 20%</vt:lpstr>
      <vt:lpstr>Table S9. SIMPER by Sulu 20%</vt:lpstr>
      <vt:lpstr>Table dep#. alpha ave era-sea</vt:lpstr>
      <vt:lpstr>Table dep#. alpha stations pair</vt:lpstr>
      <vt:lpstr>Table dep#. alpha pooled erasea</vt:lpstr>
      <vt:lpstr>Table dep#. alpha ANOVA 2-way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Whalen</dc:creator>
  <cp:lastModifiedBy>WHALEN, JOHN</cp:lastModifiedBy>
  <dcterms:created xsi:type="dcterms:W3CDTF">2025-06-30T22:49:34Z</dcterms:created>
  <dcterms:modified xsi:type="dcterms:W3CDTF">2025-08-05T19:50:58Z</dcterms:modified>
</cp:coreProperties>
</file>